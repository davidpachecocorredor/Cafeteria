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340b15f543da5/Escritorio/proyectos/cafeteria/"/>
    </mc:Choice>
  </mc:AlternateContent>
  <xr:revisionPtr revIDLastSave="749" documentId="8_{77D712C2-49FE-4B30-82A0-91C8DF163781}" xr6:coauthVersionLast="47" xr6:coauthVersionMax="47" xr10:uidLastSave="{70A4B092-DCA6-4B82-99C1-CF8FCFA2672D}"/>
  <bookViews>
    <workbookView xWindow="20370" yWindow="-120" windowWidth="15600" windowHeight="11040" activeTab="1" xr2:uid="{CFC62CE9-81CB-44F2-9296-8691E8CED7CE}"/>
  </bookViews>
  <sheets>
    <sheet name="tablas" sheetId="1" r:id="rId1"/>
    <sheet name="Hoja1" sheetId="2" r:id="rId2"/>
  </sheets>
  <definedNames>
    <definedName name="SegmentaciónDeDatos_mes_nombre">#N/A</definedName>
    <definedName name="SegmentaciónDeDatos_metodo">#N/A</definedName>
    <definedName name="SegmentaciónDeDatos_tienda">#N/A</definedName>
  </definedNames>
  <calcPr calcId="191029"/>
  <pivotCaches>
    <pivotCache cacheId="594" r:id="rId3"/>
    <pivotCache cacheId="597" r:id="rId4"/>
    <pivotCache cacheId="600" r:id="rId5"/>
  </pivotCaches>
  <extLst>
    <ext xmlns:x14="http://schemas.microsoft.com/office/spreadsheetml/2009/9/main" uri="{876F7934-8845-4945-9796-88D515C7AA90}">
      <x14:pivotCaches>
        <pivotCache cacheId="10" r:id="rId6"/>
      </x14:pivotCaches>
    </ex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io_13dfee14-d4d3-4fd9-a982-f053cc2d40d2" name="calendario" connection="Consulta - calendario"/>
          <x15:modelTable id="metodos_pago_a6a732b3-d4c0-4c69-ac81-198520e44c47" name="metodos_pago" connection="Consulta - metodos_pago"/>
          <x15:modelTable id="productos_ace6fd13-3aec-4147-bafc-2d2845ac2d2f" name="productos" connection="Consulta - productos"/>
          <x15:modelTable id="staging_ventas_9259f9a5-1f66-4ece-880f-4c2265729026" name="staging_ventas" connection="Consulta - staging_ventas"/>
          <x15:modelTable id="tiendas_c399360f-426e-4e51-80ab-f2c206038f6f" name="tiendas" connection="Consulta - tiendas"/>
          <x15:modelTable id="ventas_d6516555-b1e8-4a05-baf6-da45f0508e08" name="ventas" connection="Consulta - ventas"/>
        </x15:modelTables>
        <x15:modelRelationships>
          <x15:modelRelationship fromTable="ventas" fromColumn="fecha_id" toTable="calendario" toColumn="fecha_id"/>
          <x15:modelRelationship fromTable="ventas" fromColumn="producto_id" toTable="productos" toColumn="producto_id"/>
          <x15:modelRelationship fromTable="ventas" fromColumn="metodo_id" toTable="metodos_pago" toColumn="metodo_id"/>
          <x15:modelRelationship fromTable="ventas" fromColumn="tienda_id" toTable="tiendas" toColumn="tienda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D6" i="2"/>
  <c r="D7" i="2"/>
  <c r="B6" i="2"/>
  <c r="B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F5AC8-05B2-4573-8C95-DCE470708FEB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61a04769-444f-4ad2-ba74-89410c315976"/>
      </ext>
    </extLst>
  </connection>
  <connection id="2" xr16:uid="{4327EC5B-4C79-4E0B-AEA0-C1A2E94B5879}" name="Consulta - metodos_pago" description="Conexión a la consulta 'metodos_pago' en el libro." type="100" refreshedVersion="8" minRefreshableVersion="5">
    <extLst>
      <ext xmlns:x15="http://schemas.microsoft.com/office/spreadsheetml/2010/11/main" uri="{DE250136-89BD-433C-8126-D09CA5730AF9}">
        <x15:connection id="3130088c-eca7-4951-adec-2f34a76794ff"/>
      </ext>
    </extLst>
  </connection>
  <connection id="3" xr16:uid="{A18E1EE2-4C1C-4792-AE9A-441E78F1C88F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1d5c6deb-0e31-475a-a0c4-2d5703fec238"/>
      </ext>
    </extLst>
  </connection>
  <connection id="4" xr16:uid="{959B6D24-2BC8-4368-918F-9DBDB9ECBE42}" name="Consulta - staging_ventas" description="Conexión a la consulta 'staging_ventas' en el libro." type="100" refreshedVersion="8" minRefreshableVersion="5">
    <extLst>
      <ext xmlns:x15="http://schemas.microsoft.com/office/spreadsheetml/2010/11/main" uri="{DE250136-89BD-433C-8126-D09CA5730AF9}">
        <x15:connection id="22c310df-0d94-44bf-baf7-7043d5ee1904"/>
      </ext>
    </extLst>
  </connection>
  <connection id="5" xr16:uid="{96FEE6E1-3307-4AEA-981B-4602FB5E4EC9}" name="Consulta - tiendas" description="Conexión a la consulta 'tiendas' en el libro." type="100" refreshedVersion="8" minRefreshableVersion="5">
    <extLst>
      <ext xmlns:x15="http://schemas.microsoft.com/office/spreadsheetml/2010/11/main" uri="{DE250136-89BD-433C-8126-D09CA5730AF9}">
        <x15:connection id="5036bb9b-174b-4047-bc7c-b6054f0bd7b8"/>
      </ext>
    </extLst>
  </connection>
  <connection id="6" xr16:uid="{99AF1B3B-8810-43FA-A928-DDB8710A14B9}" name="Consulta - ventas" description="Conexión a la consulta 'ventas' en el libro." type="100" refreshedVersion="8" minRefreshableVersion="5">
    <extLst>
      <ext xmlns:x15="http://schemas.microsoft.com/office/spreadsheetml/2010/11/main" uri="{DE250136-89BD-433C-8126-D09CA5730AF9}">
        <x15:connection id="b52d6439-a6e2-478c-a3b9-328f202a01a8"/>
      </ext>
    </extLst>
  </connection>
  <connection id="7" xr16:uid="{CE534ABA-1CF6-438C-9143-575FF6E246C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<sst xmlns="http://schemas.openxmlformats.org/spreadsheetml/2006/main" count="30" uniqueCount="25">
  <si>
    <t>ventas totales</t>
  </si>
  <si>
    <t>cantidad vendida</t>
  </si>
  <si>
    <t>ticket promedio</t>
  </si>
  <si>
    <t>Etiquetas de fila</t>
  </si>
  <si>
    <t>Total general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</si>
  <si>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</si>
  <si>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</si>
  <si>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</si>
  <si>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</si>
  <si>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</si>
  <si>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</si>
  <si>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</si>
  <si>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</si>
  <si>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</si>
  <si>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</si>
  <si>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</si>
  <si>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</si>
  <si>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Cake</t>
  </si>
  <si>
    <t>Coffee</t>
  </si>
  <si>
    <t>Cookie</t>
  </si>
  <si>
    <t>Juice</t>
  </si>
  <si>
    <t>Salad</t>
  </si>
  <si>
    <t>Sandwich</t>
  </si>
  <si>
    <t>Smoothie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</si>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</sst>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.00"/>
    <numFmt numFmtId="165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5" fontId="0" fillId="0" borderId="0" xfId="0" applyNumberFormat="1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7"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  <dxf>
      <numFmt numFmtId="164" formatCode="&quot;$&quot;\ #,##0.00"/>
    </dxf>
    <dxf>
      <numFmt numFmtId="165" formatCode="&quot;$&quot;\ #,##0"/>
    </dxf>
    <dxf>
      <numFmt numFmtId="164" formatCode="&quot;$&quot;\ #,##0.00"/>
    </dxf>
  </dxfs>
  <tableStyles count="1" defaultTableStyle="TableStyleMedium2" defaultPivotStyle="PivotStyleLight16">
    <tableStyle name="Invisible" pivot="0" table="0" count="0" xr9:uid="{03773D10-8DCA-4F1B-B626-A2DC5912344F}"/>
  </tableStyles>
  <colors>
    <mruColors>
      <color rgb="FF4A86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3.xml"/><Relationship Id="rId15" Type="http://schemas.microsoft.com/office/2022/10/relationships/richValueRel" Target="richData/richValueRel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theme" Target="theme/theme1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microsoft.com/office/2007/relationships/slicerCache" Target="slicerCaches/slicerCache2.xml"/><Relationship Id="rId3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[cafeteria.xlsx]tablas!TablaDinámica2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VENTAS</a:t>
            </a:r>
            <a:r>
              <a:rPr lang="es-CO" b="1" baseline="0"/>
              <a:t> MENSUALES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tablas!$B$5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tablas!$A$6:$A$19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tablas!$B$6:$B$19</c:f>
              <c:numCache>
                <c:formatCode>General</c:formatCode>
                <c:ptCount val="12"/>
                <c:pt idx="0">
                  <c:v>884</c:v>
                </c:pt>
                <c:pt idx="1">
                  <c:v>802.5</c:v>
                </c:pt>
                <c:pt idx="2">
                  <c:v>867</c:v>
                </c:pt>
                <c:pt idx="3">
                  <c:v>838</c:v>
                </c:pt>
                <c:pt idx="4">
                  <c:v>754.5</c:v>
                </c:pt>
                <c:pt idx="5">
                  <c:v>778.5</c:v>
                </c:pt>
                <c:pt idx="6">
                  <c:v>951.5</c:v>
                </c:pt>
                <c:pt idx="7">
                  <c:v>692</c:v>
                </c:pt>
                <c:pt idx="8">
                  <c:v>920</c:v>
                </c:pt>
                <c:pt idx="9">
                  <c:v>681.5</c:v>
                </c:pt>
                <c:pt idx="10">
                  <c:v>741.5</c:v>
                </c:pt>
                <c:pt idx="11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D-4DD3-9419-3EA4CBD1EC5C}"/>
            </c:ext>
          </c:extLst>
        </c:ser>
        <c:ser>
          <c:idx val="1"/>
          <c:order val="1"/>
          <c:tx>
            <c:strRef>
              <c:f>tablas!$C$5</c:f>
              <c:strCache>
                <c:ptCount val="1"/>
                <c:pt idx="0">
                  <c:v>cantidad vendida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tablas!$A$6:$A$19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tablas!$C$6:$C$19</c:f>
              <c:numCache>
                <c:formatCode>General</c:formatCode>
                <c:ptCount val="12"/>
                <c:pt idx="0">
                  <c:v>313</c:v>
                </c:pt>
                <c:pt idx="1">
                  <c:v>288</c:v>
                </c:pt>
                <c:pt idx="2">
                  <c:v>303</c:v>
                </c:pt>
                <c:pt idx="3">
                  <c:v>287</c:v>
                </c:pt>
                <c:pt idx="4">
                  <c:v>241</c:v>
                </c:pt>
                <c:pt idx="5">
                  <c:v>269</c:v>
                </c:pt>
                <c:pt idx="6">
                  <c:v>320</c:v>
                </c:pt>
                <c:pt idx="7">
                  <c:v>263</c:v>
                </c:pt>
                <c:pt idx="8">
                  <c:v>314</c:v>
                </c:pt>
                <c:pt idx="9">
                  <c:v>280</c:v>
                </c:pt>
                <c:pt idx="10">
                  <c:v>265</c:v>
                </c:pt>
                <c:pt idx="11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D-4DD3-9419-3EA4CBD1EC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56743375"/>
        <c:axId val="1556744335"/>
        <c:axId val="0"/>
      </c:bar3DChart>
      <c:catAx>
        <c:axId val="1556743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30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44335"/>
        <c:crosses val="autoZero"/>
        <c:auto val="1"/>
        <c:lblAlgn val="ctr"/>
        <c:lblOffset val="100"/>
        <c:noMultiLvlLbl val="1"/>
      </c:catAx>
      <c:valAx>
        <c:axId val="15567443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5674337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414326334208235"/>
          <c:y val="0.84173993875765529"/>
          <c:w val="0.43837992125984249"/>
          <c:h val="0.145391878098571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[cafeteria.xlsx]tablas!TablaDinámica3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Mejores</a:t>
            </a:r>
            <a:r>
              <a:rPr lang="en-US" baseline="0"/>
              <a:t> prodcutos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tablas!$B$21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tablas!$A$22:$A$30</c:f>
              <c:strCache>
                <c:ptCount val="8"/>
                <c:pt idx="0">
                  <c:v>Cookie</c:v>
                </c:pt>
                <c:pt idx="1">
                  <c:v>Tea</c:v>
                </c:pt>
                <c:pt idx="2">
                  <c:v>Coffee</c:v>
                </c:pt>
                <c:pt idx="3">
                  <c:v>Juice</c:v>
                </c:pt>
                <c:pt idx="4">
                  <c:v>Smoothie</c:v>
                </c:pt>
                <c:pt idx="5">
                  <c:v>Cake</c:v>
                </c:pt>
                <c:pt idx="6">
                  <c:v>Salad</c:v>
                </c:pt>
                <c:pt idx="7">
                  <c:v>Sandwich</c:v>
                </c:pt>
              </c:strCache>
            </c:strRef>
          </c:cat>
          <c:val>
            <c:numRef>
              <c:f>tablas!$B$22:$B$30</c:f>
              <c:numCache>
                <c:formatCode>"$"\ #,##0.00</c:formatCode>
                <c:ptCount val="8"/>
                <c:pt idx="0">
                  <c:v>498</c:v>
                </c:pt>
                <c:pt idx="1">
                  <c:v>616</c:v>
                </c:pt>
                <c:pt idx="2">
                  <c:v>896</c:v>
                </c:pt>
                <c:pt idx="3">
                  <c:v>1346</c:v>
                </c:pt>
                <c:pt idx="4">
                  <c:v>1376</c:v>
                </c:pt>
                <c:pt idx="5">
                  <c:v>1425</c:v>
                </c:pt>
                <c:pt idx="6">
                  <c:v>1506</c:v>
                </c:pt>
                <c:pt idx="7">
                  <c:v>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5-432B-91AD-C336566B4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9479871"/>
        <c:axId val="2049473151"/>
        <c:axId val="0"/>
      </c:bar3DChart>
      <c:catAx>
        <c:axId val="204947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9473151"/>
        <c:crosses val="autoZero"/>
        <c:auto val="1"/>
        <c:lblAlgn val="ctr"/>
        <c:lblOffset val="100"/>
        <c:noMultiLvlLbl val="0"/>
      </c:catAx>
      <c:valAx>
        <c:axId val="204947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947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[cafeteria.xlsx]tablas!TablaDinámica2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VENTAS</a:t>
            </a:r>
            <a:r>
              <a:rPr lang="es-CO" b="1" baseline="0"/>
              <a:t> MENSUALES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tablas!$B$5</c:f>
              <c:strCache>
                <c:ptCount val="1"/>
                <c:pt idx="0">
                  <c:v>ventas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tablas!$A$6:$A$19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tablas!$B$6:$B$19</c:f>
              <c:numCache>
                <c:formatCode>General</c:formatCode>
                <c:ptCount val="12"/>
                <c:pt idx="0">
                  <c:v>884</c:v>
                </c:pt>
                <c:pt idx="1">
                  <c:v>802.5</c:v>
                </c:pt>
                <c:pt idx="2">
                  <c:v>867</c:v>
                </c:pt>
                <c:pt idx="3">
                  <c:v>838</c:v>
                </c:pt>
                <c:pt idx="4">
                  <c:v>754.5</c:v>
                </c:pt>
                <c:pt idx="5">
                  <c:v>778.5</c:v>
                </c:pt>
                <c:pt idx="6">
                  <c:v>951.5</c:v>
                </c:pt>
                <c:pt idx="7">
                  <c:v>692</c:v>
                </c:pt>
                <c:pt idx="8">
                  <c:v>920</c:v>
                </c:pt>
                <c:pt idx="9">
                  <c:v>681.5</c:v>
                </c:pt>
                <c:pt idx="10">
                  <c:v>741.5</c:v>
                </c:pt>
                <c:pt idx="11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0-4C69-8433-105C725779DF}"/>
            </c:ext>
          </c:extLst>
        </c:ser>
        <c:ser>
          <c:idx val="1"/>
          <c:order val="1"/>
          <c:tx>
            <c:strRef>
              <c:f>tablas!$C$5</c:f>
              <c:strCache>
                <c:ptCount val="1"/>
                <c:pt idx="0">
                  <c:v>cantidad vendida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tablas!$A$6:$A$19</c:f>
              <c:multiLvlStrCache>
                <c:ptCount val="12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tablas!$C$6:$C$19</c:f>
              <c:numCache>
                <c:formatCode>General</c:formatCode>
                <c:ptCount val="12"/>
                <c:pt idx="0">
                  <c:v>313</c:v>
                </c:pt>
                <c:pt idx="1">
                  <c:v>288</c:v>
                </c:pt>
                <c:pt idx="2">
                  <c:v>303</c:v>
                </c:pt>
                <c:pt idx="3">
                  <c:v>287</c:v>
                </c:pt>
                <c:pt idx="4">
                  <c:v>241</c:v>
                </c:pt>
                <c:pt idx="5">
                  <c:v>269</c:v>
                </c:pt>
                <c:pt idx="6">
                  <c:v>320</c:v>
                </c:pt>
                <c:pt idx="7">
                  <c:v>263</c:v>
                </c:pt>
                <c:pt idx="8">
                  <c:v>314</c:v>
                </c:pt>
                <c:pt idx="9">
                  <c:v>280</c:v>
                </c:pt>
                <c:pt idx="10">
                  <c:v>265</c:v>
                </c:pt>
                <c:pt idx="11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F0-4C69-8433-105C72577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56743375"/>
        <c:axId val="1556744335"/>
        <c:axId val="0"/>
      </c:bar3DChart>
      <c:catAx>
        <c:axId val="1556743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30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56744335"/>
        <c:crosses val="autoZero"/>
        <c:auto val="1"/>
        <c:lblAlgn val="ctr"/>
        <c:lblOffset val="100"/>
        <c:noMultiLvlLbl val="1"/>
      </c:catAx>
      <c:valAx>
        <c:axId val="155674433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5674337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414326334208235"/>
          <c:y val="0.84173993875765529"/>
          <c:w val="0.43837992125984249"/>
          <c:h val="0.145391878098571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[cafeteria.xlsx]tablas!TablaDinámica3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MEJORES</a:t>
            </a:r>
            <a:r>
              <a:rPr lang="en-US" baseline="0"/>
              <a:t> PRODUCTOS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tablas!$B$21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tablas!$A$22:$A$30</c:f>
              <c:strCache>
                <c:ptCount val="8"/>
                <c:pt idx="0">
                  <c:v>Cookie</c:v>
                </c:pt>
                <c:pt idx="1">
                  <c:v>Tea</c:v>
                </c:pt>
                <c:pt idx="2">
                  <c:v>Coffee</c:v>
                </c:pt>
                <c:pt idx="3">
                  <c:v>Juice</c:v>
                </c:pt>
                <c:pt idx="4">
                  <c:v>Smoothie</c:v>
                </c:pt>
                <c:pt idx="5">
                  <c:v>Cake</c:v>
                </c:pt>
                <c:pt idx="6">
                  <c:v>Salad</c:v>
                </c:pt>
                <c:pt idx="7">
                  <c:v>Sandwich</c:v>
                </c:pt>
              </c:strCache>
            </c:strRef>
          </c:cat>
          <c:val>
            <c:numRef>
              <c:f>tablas!$B$22:$B$30</c:f>
              <c:numCache>
                <c:formatCode>"$"\ #,##0.00</c:formatCode>
                <c:ptCount val="8"/>
                <c:pt idx="0">
                  <c:v>498</c:v>
                </c:pt>
                <c:pt idx="1">
                  <c:v>616</c:v>
                </c:pt>
                <c:pt idx="2">
                  <c:v>896</c:v>
                </c:pt>
                <c:pt idx="3">
                  <c:v>1346</c:v>
                </c:pt>
                <c:pt idx="4">
                  <c:v>1376</c:v>
                </c:pt>
                <c:pt idx="5">
                  <c:v>1425</c:v>
                </c:pt>
                <c:pt idx="6">
                  <c:v>1506</c:v>
                </c:pt>
                <c:pt idx="7">
                  <c:v>1984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0F9-A800-8A5C059C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9479871"/>
        <c:axId val="2049473151"/>
        <c:axId val="0"/>
      </c:bar3DChart>
      <c:catAx>
        <c:axId val="204947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9473151"/>
        <c:crosses val="autoZero"/>
        <c:auto val="1"/>
        <c:lblAlgn val="ctr"/>
        <c:lblOffset val="100"/>
        <c:noMultiLvlLbl val="0"/>
      </c:catAx>
      <c:valAx>
        <c:axId val="204947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947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42862</xdr:rowOff>
    </xdr:from>
    <xdr:to>
      <xdr:col>9</xdr:col>
      <xdr:colOff>419100</xdr:colOff>
      <xdr:row>16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7D0785-58B2-DF3B-06CB-AF05D362E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17</xdr:row>
      <xdr:rowOff>147637</xdr:rowOff>
    </xdr:from>
    <xdr:to>
      <xdr:col>9</xdr:col>
      <xdr:colOff>180975</xdr:colOff>
      <xdr:row>32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E342FC-CB70-435F-3A39-2CFBC7985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47807</xdr:rowOff>
    </xdr:from>
    <xdr:to>
      <xdr:col>2</xdr:col>
      <xdr:colOff>304800</xdr:colOff>
      <xdr:row>4</xdr:row>
      <xdr:rowOff>5807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6F53D6D6-2455-43F1-80D9-FED9E9D5804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807"/>
              <a:ext cx="1733550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0</xdr:row>
      <xdr:rowOff>47807</xdr:rowOff>
    </xdr:from>
    <xdr:to>
      <xdr:col>5</xdr:col>
      <xdr:colOff>3174</xdr:colOff>
      <xdr:row>4</xdr:row>
      <xdr:rowOff>5807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tienda">
              <a:extLst>
                <a:ext uri="{FF2B5EF4-FFF2-40B4-BE49-F238E27FC236}">
                  <a16:creationId xmlns:a16="http://schemas.microsoft.com/office/drawing/2014/main" id="{4C1B72DC-7DF7-4844-9CA4-0B761E61B7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en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3250" y="47807"/>
              <a:ext cx="1828799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153892</xdr:colOff>
      <xdr:row>0</xdr:row>
      <xdr:rowOff>34200</xdr:rowOff>
    </xdr:from>
    <xdr:to>
      <xdr:col>7</xdr:col>
      <xdr:colOff>340179</xdr:colOff>
      <xdr:row>3</xdr:row>
      <xdr:rowOff>182700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metodo">
              <a:extLst>
                <a:ext uri="{FF2B5EF4-FFF2-40B4-BE49-F238E27FC236}">
                  <a16:creationId xmlns:a16="http://schemas.microsoft.com/office/drawing/2014/main" id="{BC857E3B-728E-473A-8BEC-24BB2AC98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2767" y="34200"/>
              <a:ext cx="1662662" cy="7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119497</xdr:colOff>
      <xdr:row>7</xdr:row>
      <xdr:rowOff>108857</xdr:rowOff>
    </xdr:from>
    <xdr:to>
      <xdr:col>7</xdr:col>
      <xdr:colOff>244929</xdr:colOff>
      <xdr:row>20</xdr:row>
      <xdr:rowOff>108857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7AB4F2B-1291-4916-88CA-89464A291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119497</xdr:colOff>
      <xdr:row>21</xdr:row>
      <xdr:rowOff>3175</xdr:rowOff>
    </xdr:from>
    <xdr:to>
      <xdr:col>7</xdr:col>
      <xdr:colOff>244929</xdr:colOff>
      <xdr:row>34</xdr:row>
      <xdr:rowOff>79375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C565B4B-94FB-4128-B561-63AA78E60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orlando pacheco corredor" refreshedDate="45993.942673726851" backgroundQuery="1" createdVersion="8" refreshedVersion="8" minRefreshableVersion="3" recordCount="0" supportSubquery="1" supportAdvancedDrill="1" xr:uid="{630C5CA4-740D-47AC-B97B-789D49DB1523}">
  <cacheSource type="external" connectionId="7"/>
  <cacheFields count="3">
    <cacheField name="[productos].[nombre].[nombre]" caption="nombre" numFmtId="0" hierarchy="10" level="1">
      <sharedItems count="8">
        <s v="Cake"/>
        <s v="Coffee"/>
        <s v="Cookie"/>
        <s v="Juice"/>
        <s v="Salad"/>
        <s v="Sandwich"/>
        <s v="Smoothie"/>
        <s v="Tea"/>
      </sharedItems>
    </cacheField>
    <cacheField name="[Measures].[ventas totales]" caption="ventas totales" numFmtId="0" hierarchy="31" level="32767"/>
    <cacheField name="[metodos_pago].[metodo].[metodo]" caption="metodo" numFmtId="0" hierarchy="8" level="1">
      <sharedItems containsSemiMixedTypes="0" containsNonDate="0" containsString="0"/>
    </cacheField>
  </cacheFields>
  <cacheHierarchies count="46">
    <cacheHierarchy uniqueName="[calendario].[fecha_id]" caption="fecha_id" attribute="1" defaultMemberUniqueName="[calendario].[fecha_id].[All]" allUniqueName="[calendario].[fecha_id].[All]" dimensionUniqueName="[calendario]" displayFolder="" count="0" memberValueDatatype="20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_semana]" caption="dia_semana" attribute="1" defaultMemberUniqueName="[calendario].[dia_semana].[All]" allUniqueName="[calendario].[dia_semana].[All]" dimensionUniqueName="[calendario]" displayFolder="" count="0" memberValueDatatype="130" unbalanced="0"/>
    <cacheHierarchy uniqueName="[calendario].[mes_nombre]" caption="mes_nombre" attribute="1" defaultMemberUniqueName="[calendario].[mes_nombre].[All]" allUniqueName="[calendario].[mes_nombre].[All]" dimensionUniqueName="[calendario]" displayFolder="" count="2" memberValueDatatype="130" unbalanced="0"/>
    <cacheHierarchy uniqueName="[metodos_pago].[metodo_id]" caption="metodo_id" attribute="1" defaultMemberUniqueName="[metodos_pago].[metodo_id].[All]" allUniqueName="[metodos_pago].[metodo_id].[All]" dimensionUniqueName="[metodos_pago]" displayFolder="" count="0" memberValueDatatype="20" unbalanced="0"/>
    <cacheHierarchy uniqueName="[metodos_pago].[metodo]" caption="metodo" attribute="1" defaultMemberUniqueName="[metodos_pago].[metodo].[All]" allUniqueName="[metodos_pago].[metodo].[All]" dimensionUniqueName="[metodos_pago]" displayFolder="" count="2" memberValueDatatype="130" unbalanced="0">
      <fieldsUsage count="2">
        <fieldUsage x="-1"/>
        <fieldUsage x="2"/>
      </fieldsUsage>
    </cacheHierarchy>
    <cacheHierarchy uniqueName="[productos].[producto_id]" caption="producto_id" attribute="1" defaultMemberUniqueName="[productos].[producto_id].[All]" allUniqueName="[productos].[producto_id].[All]" dimensionUniqueName="[productos]" displayFolder="" count="0" memberValueDatatype="20" unbalanced="0"/>
    <cacheHierarchy uniqueName="[productos].[nombre]" caption="nombre" attribute="1" defaultMemberUniqueName="[productos].[nombre].[All]" allUniqueName="[productos].[nombre].[All]" dimensionUniqueName="[productos]" displayFolder="" count="2" memberValueDatatype="130" unbalanced="0">
      <fieldsUsage count="2">
        <fieldUsage x="-1"/>
        <fieldUsage x="0"/>
      </fieldsUsage>
    </cacheHierarchy>
    <cacheHierarchy uniqueName="[productos].[precio_unitario]" caption="precio_unitario" attribute="1" defaultMemberUniqueName="[productos].[precio_unitario].[All]" allUniqueName="[productos].[precio_unitario].[All]" dimensionUniqueName="[productos]" displayFolder="" count="0" memberValueDatatype="5" unbalanced="0"/>
    <cacheHierarchy uniqueName="[staging_ventas].[ID_transaccion]" caption="ID_transaccion" attribute="1" defaultMemberUniqueName="[staging_ventas].[ID_transaccion].[All]" allUniqueName="[staging_ventas].[ID_transaccion].[All]" dimensionUniqueName="[staging_ventas]" displayFolder="" count="0" memberValueDatatype="130" unbalanced="0"/>
    <cacheHierarchy uniqueName="[staging_ventas].[item]" caption="item" attribute="1" defaultMemberUniqueName="[staging_ventas].[item].[All]" allUniqueName="[staging_ventas].[item].[All]" dimensionUniqueName="[staging_ventas]" displayFolder="" count="0" memberValueDatatype="130" unbalanced="0"/>
    <cacheHierarchy uniqueName="[staging_ventas].[cantidad]" caption="cantidad" attribute="1" defaultMemberUniqueName="[staging_ventas].[cantidad].[All]" allUniqueName="[staging_ventas].[cantidad].[All]" dimensionUniqueName="[staging_ventas]" displayFolder="" count="0" memberValueDatatype="20" unbalanced="0"/>
    <cacheHierarchy uniqueName="[staging_ventas].[precio_unitario]" caption="precio_unitario" attribute="1" defaultMemberUniqueName="[staging_ventas].[precio_unitario].[All]" allUniqueName="[staging_ventas].[precio_unitario].[All]" dimensionUniqueName="[staging_ventas]" displayFolder="" count="0" memberValueDatatype="5" unbalanced="0"/>
    <cacheHierarchy uniqueName="[staging_ventas].[total]" caption="total" attribute="1" defaultMemberUniqueName="[staging_ventas].[total].[All]" allUniqueName="[staging_ventas].[total].[All]" dimensionUniqueName="[staging_ventas]" displayFolder="" count="0" memberValueDatatype="5" unbalanced="0"/>
    <cacheHierarchy uniqueName="[staging_ventas].[metodo_pago]" caption="metodo_pago" attribute="1" defaultMemberUniqueName="[staging_ventas].[metodo_pago].[All]" allUniqueName="[staging_ventas].[metodo_pago].[All]" dimensionUniqueName="[staging_ventas]" displayFolder="" count="0" memberValueDatatype="130" unbalanced="0"/>
    <cacheHierarchy uniqueName="[staging_ventas].[location]" caption="location" attribute="1" defaultMemberUniqueName="[staging_ventas].[location].[All]" allUniqueName="[staging_ventas].[location].[All]" dimensionUniqueName="[staging_ventas]" displayFolder="" count="0" memberValueDatatype="130" unbalanced="0"/>
    <cacheHierarchy uniqueName="[staging_ventas].[fecha]" caption="fecha" attribute="1" time="1" defaultMemberUniqueName="[staging_ventas].[fecha].[All]" allUniqueName="[staging_ventas].[fecha].[All]" dimensionUniqueName="[staging_ventas]" displayFolder="" count="0" memberValueDatatype="7" unbalanced="0"/>
    <cacheHierarchy uniqueName="[tiendas].[tienda_id]" caption="tienda_id" attribute="1" defaultMemberUniqueName="[tiendas].[tienda_id].[All]" allUniqueName="[tiendas].[tienda_id].[All]" dimensionUniqueName="[tiendas]" displayFolder="" count="0" memberValueDatatype="20" unbalanced="0"/>
    <cacheHierarchy uniqueName="[tiendas].[tienda]" caption="tienda" attribute="1" defaultMemberUniqueName="[tiendas].[tienda].[All]" allUniqueName="[tiendas].[tienda].[All]" dimensionUniqueName="[tiendas]" displayFolder="" count="2" memberValueDatatype="130" unbalanced="0"/>
    <cacheHierarchy uniqueName="[ventas].[venta_id]" caption="venta_id" attribute="1" defaultMemberUniqueName="[ventas].[venta_id].[All]" allUniqueName="[ventas].[venta_id].[All]" dimensionUniqueName="[ventas]" displayFolder="" count="0" memberValueDatatype="20" unbalanced="0"/>
    <cacheHierarchy uniqueName="[ventas].[transaccion_id]" caption="transaccion_id" attribute="1" defaultMemberUniqueName="[ventas].[transaccion_id].[All]" allUniqueName="[ventas].[transaccion_id].[All]" dimensionUniqueName="[ventas]" displayFolder="" count="0" memberValueDatatype="130" unbalanced="0"/>
    <cacheHierarchy uniqueName="[ventas].[producto_id]" caption="producto_id" attribute="1" defaultMemberUniqueName="[ventas].[producto_id].[All]" allUniqueName="[ventas].[producto_id].[All]" dimensionUniqueName="[ventas]" displayFolder="" count="0" memberValueDatatype="2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5" unbalanced="0"/>
    <cacheHierarchy uniqueName="[ventas].[total]" caption="total" attribute="1" defaultMemberUniqueName="[ventas].[total].[All]" allUniqueName="[ventas].[total].[All]" dimensionUniqueName="[ventas]" displayFolder="" count="0" memberValueDatatype="5" unbalanced="0"/>
    <cacheHierarchy uniqueName="[ventas].[metodo_id]" caption="metodo_id" attribute="1" defaultMemberUniqueName="[ventas].[metodo_id].[All]" allUniqueName="[ventas].[metodo_id].[All]" dimensionUniqueName="[ventas]" displayFolder="" count="0" memberValueDatatype="20" unbalanced="0"/>
    <cacheHierarchy uniqueName="[ventas].[tienda_id]" caption="tienda_id" attribute="1" defaultMemberUniqueName="[ventas].[tienda_id].[All]" allUniqueName="[ventas].[tienda_id].[All]" dimensionUniqueName="[ventas]" displayFolder="" count="0" memberValueDatatype="20" unbalanced="0"/>
    <cacheHierarchy uniqueName="[ventas].[fecha_id]" caption="fecha_id" attribute="1" defaultMemberUniqueName="[ventas].[fecha_id].[All]" allUniqueName="[ventas].[fecha_id].[All]" dimensionUniqueName="[ventas]" displayFolder="" count="0" memberValueDatatype="20" unbalanced="0"/>
    <cacheHierarchy uniqueName="[Measures].[ventas totales]" caption="ventas totales" measure="1" displayFolder="" measureGroup="ventas" count="0" oneField="1">
      <fieldsUsage count="1">
        <fieldUsage x="1"/>
      </fieldsUsage>
    </cacheHierarchy>
    <cacheHierarchy uniqueName="[Measures].[cantidad vendida]" caption="cantidad vendida" measure="1" displayFolder="" measureGroup="ventas" count="0"/>
    <cacheHierarchy uniqueName="[Measures].[ticket promedio]" caption="ticket promedio" measure="1" displayFolder="" measureGroup="ventas" count="0"/>
    <cacheHierarchy uniqueName="[Measures].[promedio producto]" caption="promedio producto" measure="1" displayFolder="" measureGroup="ventas" count="0"/>
    <cacheHierarchy uniqueName="[Measures].[ventas por dia]" caption="ventas por dia" measure="1" displayFolder="" measureGroup="ventas" count="0"/>
    <cacheHierarchy uniqueName="[Measures].[ventas mensuales]" caption="ventas mensuales" measure="1" displayFolder="" measureGroup="ventas" count="0"/>
    <cacheHierarchy uniqueName="[Measures].[top producto]" caption="top producto" measure="1" displayFolder="" measureGroup="ventas" count="0"/>
    <cacheHierarchy uniqueName="[Measures].[TOP TIENDA]" caption="TOP TIENDA" measure="1" displayFolder="" measureGroup="ventas" count="0"/>
    <cacheHierarchy uniqueName="[Measures].[__XL_Count calendario]" caption="__XL_Count calendario" measure="1" displayFolder="" measureGroup="calendario" count="0" hidden="1"/>
    <cacheHierarchy uniqueName="[Measures].[__XL_Count metodos_pago]" caption="__XL_Count metodos_pago" measure="1" displayFolder="" measureGroup="metodos_pago" count="0" hidden="1"/>
    <cacheHierarchy uniqueName="[Measures].[__XL_Count productos]" caption="__XL_Count productos" measure="1" displayFolder="" measureGroup="productos" count="0" hidden="1"/>
    <cacheHierarchy uniqueName="[Measures].[__XL_Count staging_ventas]" caption="__XL_Count staging_ventas" measure="1" displayFolder="" measureGroup="staging_ventas" count="0" hidden="1"/>
    <cacheHierarchy uniqueName="[Measures].[__XL_Count tiendas]" caption="__XL_Count tiendas" measure="1" displayFolder="" measureGroup="tiendas" count="0" hidden="1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</cacheHierarchies>
  <kpis count="0"/>
  <dimensions count="7">
    <dimension name="calendario" uniqueName="[calendario]" caption="calendario"/>
    <dimension measure="1" name="Measures" uniqueName="[Measures]" caption="Measures"/>
    <dimension name="metodos_pago" uniqueName="[metodos_pago]" caption="metodos_pago"/>
    <dimension name="productos" uniqueName="[productos]" caption="productos"/>
    <dimension name="staging_ventas" uniqueName="[staging_ventas]" caption="staging_ventas"/>
    <dimension name="tiendas" uniqueName="[tiendas]" caption="tiendas"/>
    <dimension name="ventas" uniqueName="[ventas]" caption="ventas"/>
  </dimensions>
  <measureGroups count="6">
    <measureGroup name="calendario" caption="calendario"/>
    <measureGroup name="metodos_pago" caption="metodos_pago"/>
    <measureGroup name="productos" caption="productos"/>
    <measureGroup name="staging_ventas" caption="staging_ventas"/>
    <measureGroup name="tiendas" caption="tiendas"/>
    <measureGroup name="ventas" caption="ventas"/>
  </measureGroups>
  <maps count="10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orlando pacheco corredor" refreshedDate="45993.942674189813" backgroundQuery="1" createdVersion="8" refreshedVersion="8" minRefreshableVersion="3" recordCount="0" supportSubquery="1" supportAdvancedDrill="1" xr:uid="{59A2A49B-2AE6-4B67-9D90-AF37BAB48882}">
  <cacheSource type="external" connectionId="7"/>
  <cacheFields count="4">
    <cacheField name="[Measures].[ticket promedio]" caption="ticket promedio" numFmtId="0" hierarchy="33" level="32767"/>
    <cacheField name="[Measures].[ventas totales]" caption="ventas totales" numFmtId="0" hierarchy="31" level="32767"/>
    <cacheField name="[Measures].[cantidad vendida]" caption="cantidad vendida" numFmtId="0" hierarchy="32" level="32767"/>
    <cacheField name="[metodos_pago].[metodo].[metodo]" caption="metodo" numFmtId="0" hierarchy="8" level="1">
      <sharedItems containsSemiMixedTypes="0" containsNonDate="0" containsString="0"/>
    </cacheField>
  </cacheFields>
  <cacheHierarchies count="46">
    <cacheHierarchy uniqueName="[calendario].[fecha_id]" caption="fecha_id" attribute="1" defaultMemberUniqueName="[calendario].[fecha_id].[All]" allUniqueName="[calendario].[fecha_id].[All]" dimensionUniqueName="[calendario]" displayFolder="" count="0" memberValueDatatype="20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_semana]" caption="dia_semana" attribute="1" defaultMemberUniqueName="[calendario].[dia_semana].[All]" allUniqueName="[calendario].[dia_semana].[All]" dimensionUniqueName="[calendario]" displayFolder="" count="0" memberValueDatatype="130" unbalanced="0"/>
    <cacheHierarchy uniqueName="[calendario].[mes_nombre]" caption="mes_nombre" attribute="1" defaultMemberUniqueName="[calendario].[mes_nombre].[All]" allUniqueName="[calendario].[mes_nombre].[All]" dimensionUniqueName="[calendario]" displayFolder="" count="2" memberValueDatatype="130" unbalanced="0"/>
    <cacheHierarchy uniqueName="[metodos_pago].[metodo_id]" caption="metodo_id" attribute="1" defaultMemberUniqueName="[metodos_pago].[metodo_id].[All]" allUniqueName="[metodos_pago].[metodo_id].[All]" dimensionUniqueName="[metodos_pago]" displayFolder="" count="0" memberValueDatatype="20" unbalanced="0"/>
    <cacheHierarchy uniqueName="[metodos_pago].[metodo]" caption="metodo" attribute="1" defaultMemberUniqueName="[metodos_pago].[metodo].[All]" allUniqueName="[metodos_pago].[metodo].[All]" dimensionUniqueName="[metodos_pago]" displayFolder="" count="2" memberValueDatatype="130" unbalanced="0">
      <fieldsUsage count="2">
        <fieldUsage x="-1"/>
        <fieldUsage x="3"/>
      </fieldsUsage>
    </cacheHierarchy>
    <cacheHierarchy uniqueName="[productos].[producto_id]" caption="producto_id" attribute="1" defaultMemberUniqueName="[productos].[producto_id].[All]" allUniqueName="[productos].[producto_id].[All]" dimensionUniqueName="[productos]" displayFolder="" count="0" memberValueDatatype="2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precio_unitario]" caption="precio_unitario" attribute="1" defaultMemberUniqueName="[productos].[precio_unitario].[All]" allUniqueName="[productos].[precio_unitario].[All]" dimensionUniqueName="[productos]" displayFolder="" count="0" memberValueDatatype="5" unbalanced="0"/>
    <cacheHierarchy uniqueName="[staging_ventas].[ID_transaccion]" caption="ID_transaccion" attribute="1" defaultMemberUniqueName="[staging_ventas].[ID_transaccion].[All]" allUniqueName="[staging_ventas].[ID_transaccion].[All]" dimensionUniqueName="[staging_ventas]" displayFolder="" count="0" memberValueDatatype="130" unbalanced="0"/>
    <cacheHierarchy uniqueName="[staging_ventas].[item]" caption="item" attribute="1" defaultMemberUniqueName="[staging_ventas].[item].[All]" allUniqueName="[staging_ventas].[item].[All]" dimensionUniqueName="[staging_ventas]" displayFolder="" count="0" memberValueDatatype="130" unbalanced="0"/>
    <cacheHierarchy uniqueName="[staging_ventas].[cantidad]" caption="cantidad" attribute="1" defaultMemberUniqueName="[staging_ventas].[cantidad].[All]" allUniqueName="[staging_ventas].[cantidad].[All]" dimensionUniqueName="[staging_ventas]" displayFolder="" count="0" memberValueDatatype="20" unbalanced="0"/>
    <cacheHierarchy uniqueName="[staging_ventas].[precio_unitario]" caption="precio_unitario" attribute="1" defaultMemberUniqueName="[staging_ventas].[precio_unitario].[All]" allUniqueName="[staging_ventas].[precio_unitario].[All]" dimensionUniqueName="[staging_ventas]" displayFolder="" count="0" memberValueDatatype="5" unbalanced="0"/>
    <cacheHierarchy uniqueName="[staging_ventas].[total]" caption="total" attribute="1" defaultMemberUniqueName="[staging_ventas].[total].[All]" allUniqueName="[staging_ventas].[total].[All]" dimensionUniqueName="[staging_ventas]" displayFolder="" count="0" memberValueDatatype="5" unbalanced="0"/>
    <cacheHierarchy uniqueName="[staging_ventas].[metodo_pago]" caption="metodo_pago" attribute="1" defaultMemberUniqueName="[staging_ventas].[metodo_pago].[All]" allUniqueName="[staging_ventas].[metodo_pago].[All]" dimensionUniqueName="[staging_ventas]" displayFolder="" count="0" memberValueDatatype="130" unbalanced="0"/>
    <cacheHierarchy uniqueName="[staging_ventas].[location]" caption="location" attribute="1" defaultMemberUniqueName="[staging_ventas].[location].[All]" allUniqueName="[staging_ventas].[location].[All]" dimensionUniqueName="[staging_ventas]" displayFolder="" count="0" memberValueDatatype="130" unbalanced="0"/>
    <cacheHierarchy uniqueName="[staging_ventas].[fecha]" caption="fecha" attribute="1" time="1" defaultMemberUniqueName="[staging_ventas].[fecha].[All]" allUniqueName="[staging_ventas].[fecha].[All]" dimensionUniqueName="[staging_ventas]" displayFolder="" count="0" memberValueDatatype="7" unbalanced="0"/>
    <cacheHierarchy uniqueName="[tiendas].[tienda_id]" caption="tienda_id" attribute="1" defaultMemberUniqueName="[tiendas].[tienda_id].[All]" allUniqueName="[tiendas].[tienda_id].[All]" dimensionUniqueName="[tiendas]" displayFolder="" count="0" memberValueDatatype="20" unbalanced="0"/>
    <cacheHierarchy uniqueName="[tiendas].[tienda]" caption="tienda" attribute="1" defaultMemberUniqueName="[tiendas].[tienda].[All]" allUniqueName="[tiendas].[tienda].[All]" dimensionUniqueName="[tiendas]" displayFolder="" count="2" memberValueDatatype="130" unbalanced="0"/>
    <cacheHierarchy uniqueName="[ventas].[venta_id]" caption="venta_id" attribute="1" defaultMemberUniqueName="[ventas].[venta_id].[All]" allUniqueName="[ventas].[venta_id].[All]" dimensionUniqueName="[ventas]" displayFolder="" count="0" memberValueDatatype="20" unbalanced="0"/>
    <cacheHierarchy uniqueName="[ventas].[transaccion_id]" caption="transaccion_id" attribute="1" defaultMemberUniqueName="[ventas].[transaccion_id].[All]" allUniqueName="[ventas].[transaccion_id].[All]" dimensionUniqueName="[ventas]" displayFolder="" count="0" memberValueDatatype="130" unbalanced="0"/>
    <cacheHierarchy uniqueName="[ventas].[producto_id]" caption="producto_id" attribute="1" defaultMemberUniqueName="[ventas].[producto_id].[All]" allUniqueName="[ventas].[producto_id].[All]" dimensionUniqueName="[ventas]" displayFolder="" count="0" memberValueDatatype="2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5" unbalanced="0"/>
    <cacheHierarchy uniqueName="[ventas].[total]" caption="total" attribute="1" defaultMemberUniqueName="[ventas].[total].[All]" allUniqueName="[ventas].[total].[All]" dimensionUniqueName="[ventas]" displayFolder="" count="0" memberValueDatatype="5" unbalanced="0"/>
    <cacheHierarchy uniqueName="[ventas].[metodo_id]" caption="metodo_id" attribute="1" defaultMemberUniqueName="[ventas].[metodo_id].[All]" allUniqueName="[ventas].[metodo_id].[All]" dimensionUniqueName="[ventas]" displayFolder="" count="0" memberValueDatatype="20" unbalanced="0"/>
    <cacheHierarchy uniqueName="[ventas].[tienda_id]" caption="tienda_id" attribute="1" defaultMemberUniqueName="[ventas].[tienda_id].[All]" allUniqueName="[ventas].[tienda_id].[All]" dimensionUniqueName="[ventas]" displayFolder="" count="0" memberValueDatatype="20" unbalanced="0"/>
    <cacheHierarchy uniqueName="[ventas].[fecha_id]" caption="fecha_id" attribute="1" defaultMemberUniqueName="[ventas].[fecha_id].[All]" allUniqueName="[ventas].[fecha_id].[All]" dimensionUniqueName="[ventas]" displayFolder="" count="0" memberValueDatatype="20" unbalanced="0"/>
    <cacheHierarchy uniqueName="[Measures].[ventas totales]" caption="ventas totales" measure="1" displayFolder="" measureGroup="ventas" count="0" oneField="1">
      <fieldsUsage count="1">
        <fieldUsage x="1"/>
      </fieldsUsage>
    </cacheHierarchy>
    <cacheHierarchy uniqueName="[Measures].[cantidad vendida]" caption="cantidad vendida" measure="1" displayFolder="" measureGroup="ventas" count="0" oneField="1">
      <fieldsUsage count="1">
        <fieldUsage x="2"/>
      </fieldsUsage>
    </cacheHierarchy>
    <cacheHierarchy uniqueName="[Measures].[ticket promedio]" caption="ticket promedio" measure="1" displayFolder="" measureGroup="ventas" count="0" oneField="1">
      <fieldsUsage count="1">
        <fieldUsage x="0"/>
      </fieldsUsage>
    </cacheHierarchy>
    <cacheHierarchy uniqueName="[Measures].[promedio producto]" caption="promedio producto" measure="1" displayFolder="" measureGroup="ventas" count="0"/>
    <cacheHierarchy uniqueName="[Measures].[ventas por dia]" caption="ventas por dia" measure="1" displayFolder="" measureGroup="ventas" count="0"/>
    <cacheHierarchy uniqueName="[Measures].[ventas mensuales]" caption="ventas mensuales" measure="1" displayFolder="" measureGroup="ventas" count="0"/>
    <cacheHierarchy uniqueName="[Measures].[top producto]" caption="top producto" measure="1" displayFolder="" measureGroup="ventas" count="0"/>
    <cacheHierarchy uniqueName="[Measures].[TOP TIENDA]" caption="TOP TIENDA" measure="1" displayFolder="" measureGroup="ventas" count="0"/>
    <cacheHierarchy uniqueName="[Measures].[__XL_Count calendario]" caption="__XL_Count calendario" measure="1" displayFolder="" measureGroup="calendario" count="0" hidden="1"/>
    <cacheHierarchy uniqueName="[Measures].[__XL_Count metodos_pago]" caption="__XL_Count metodos_pago" measure="1" displayFolder="" measureGroup="metodos_pago" count="0" hidden="1"/>
    <cacheHierarchy uniqueName="[Measures].[__XL_Count productos]" caption="__XL_Count productos" measure="1" displayFolder="" measureGroup="productos" count="0" hidden="1"/>
    <cacheHierarchy uniqueName="[Measures].[__XL_Count staging_ventas]" caption="__XL_Count staging_ventas" measure="1" displayFolder="" measureGroup="staging_ventas" count="0" hidden="1"/>
    <cacheHierarchy uniqueName="[Measures].[__XL_Count tiendas]" caption="__XL_Count tiendas" measure="1" displayFolder="" measureGroup="tiendas" count="0" hidden="1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</cacheHierarchies>
  <kpis count="0"/>
  <dimensions count="7">
    <dimension name="calendario" uniqueName="[calendario]" caption="calendario"/>
    <dimension measure="1" name="Measures" uniqueName="[Measures]" caption="Measures"/>
    <dimension name="metodos_pago" uniqueName="[metodos_pago]" caption="metodos_pago"/>
    <dimension name="productos" uniqueName="[productos]" caption="productos"/>
    <dimension name="staging_ventas" uniqueName="[staging_ventas]" caption="staging_ventas"/>
    <dimension name="tiendas" uniqueName="[tiendas]" caption="tiendas"/>
    <dimension name="ventas" uniqueName="[ventas]" caption="ventas"/>
  </dimensions>
  <measureGroups count="6">
    <measureGroup name="calendario" caption="calendario"/>
    <measureGroup name="metodos_pago" caption="metodos_pago"/>
    <measureGroup name="productos" caption="productos"/>
    <measureGroup name="staging_ventas" caption="staging_ventas"/>
    <measureGroup name="tiendas" caption="tiendas"/>
    <measureGroup name="ventas" caption="ventas"/>
  </measureGroups>
  <maps count="10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orlando pacheco corredor" refreshedDate="45993.94267488426" backgroundQuery="1" createdVersion="8" refreshedVersion="8" minRefreshableVersion="3" recordCount="0" supportSubquery="1" supportAdvancedDrill="1" xr:uid="{676137A3-21B1-4E43-9C2B-98ED623C47ED}">
  <cacheSource type="external" connectionId="7"/>
  <cacheFields count="5">
    <cacheField name="[calendario].[año].[año]" caption="año" numFmtId="0" hierarchy="2" level="1">
      <sharedItems containsSemiMixedTypes="0" containsString="0" containsNumber="1" containsInteger="1" minValue="2023" maxValue="2023" count="1">
        <n v="2023"/>
      </sharedItems>
      <extLst>
        <ext xmlns:x15="http://schemas.microsoft.com/office/spreadsheetml/2010/11/main" uri="{4F2E5C28-24EA-4eb8-9CBF-B6C8F9C3D259}">
          <x15:cachedUniqueNames>
            <x15:cachedUniqueName index="0" name="[calendario].[año].&amp;[2023]"/>
          </x15:cachedUniqueNames>
        </ext>
      </extLst>
    </cacheField>
    <cacheField name="[calendario].[mes_nombre].[mes_nombre]" caption="mes_nombre" numFmtId="0" hierarchy="6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ventas totales]" caption="ventas totales" numFmtId="0" hierarchy="31" level="32767"/>
    <cacheField name="[Measures].[cantidad vendida]" caption="cantidad vendida" numFmtId="0" hierarchy="32" level="32767"/>
    <cacheField name="[metodos_pago].[metodo].[metodo]" caption="metodo" numFmtId="0" hierarchy="8" level="1">
      <sharedItems containsSemiMixedTypes="0" containsNonDate="0" containsString="0"/>
    </cacheField>
  </cacheFields>
  <cacheHierarchies count="46">
    <cacheHierarchy uniqueName="[calendario].[fecha_id]" caption="fecha_id" attribute="1" defaultMemberUniqueName="[calendario].[fecha_id].[All]" allUniqueName="[calendario].[fecha_id].[All]" dimensionUniqueName="[calendario]" displayFolder="" count="0" memberValueDatatype="20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_semana]" caption="dia_semana" attribute="1" defaultMemberUniqueName="[calendario].[dia_semana].[All]" allUniqueName="[calendario].[dia_semana].[All]" dimensionUniqueName="[calendario]" displayFolder="" count="0" memberValueDatatype="130" unbalanced="0"/>
    <cacheHierarchy uniqueName="[calendario].[mes_nombre]" caption="mes_nombre" attribute="1" defaultMemberUniqueName="[calendario].[mes_nombre].[All]" allUniqueName="[calendario].[mes_nombre].[All]" dimensionUniqueName="[calendario]" displayFolder="" count="2" memberValueDatatype="130" unbalanced="0">
      <fieldsUsage count="2">
        <fieldUsage x="-1"/>
        <fieldUsage x="1"/>
      </fieldsUsage>
    </cacheHierarchy>
    <cacheHierarchy uniqueName="[metodos_pago].[metodo_id]" caption="metodo_id" attribute="1" defaultMemberUniqueName="[metodos_pago].[metodo_id].[All]" allUniqueName="[metodos_pago].[metodo_id].[All]" dimensionUniqueName="[metodos_pago]" displayFolder="" count="0" memberValueDatatype="20" unbalanced="0"/>
    <cacheHierarchy uniqueName="[metodos_pago].[metodo]" caption="metodo" attribute="1" defaultMemberUniqueName="[metodos_pago].[metodo].[All]" allUniqueName="[metodos_pago].[metodo].[All]" dimensionUniqueName="[metodos_pago]" displayFolder="" count="2" memberValueDatatype="130" unbalanced="0">
      <fieldsUsage count="2">
        <fieldUsage x="-1"/>
        <fieldUsage x="4"/>
      </fieldsUsage>
    </cacheHierarchy>
    <cacheHierarchy uniqueName="[productos].[producto_id]" caption="producto_id" attribute="1" defaultMemberUniqueName="[productos].[producto_id].[All]" allUniqueName="[productos].[producto_id].[All]" dimensionUniqueName="[productos]" displayFolder="" count="0" memberValueDatatype="2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precio_unitario]" caption="precio_unitario" attribute="1" defaultMemberUniqueName="[productos].[precio_unitario].[All]" allUniqueName="[productos].[precio_unitario].[All]" dimensionUniqueName="[productos]" displayFolder="" count="0" memberValueDatatype="5" unbalanced="0"/>
    <cacheHierarchy uniqueName="[staging_ventas].[ID_transaccion]" caption="ID_transaccion" attribute="1" defaultMemberUniqueName="[staging_ventas].[ID_transaccion].[All]" allUniqueName="[staging_ventas].[ID_transaccion].[All]" dimensionUniqueName="[staging_ventas]" displayFolder="" count="0" memberValueDatatype="130" unbalanced="0"/>
    <cacheHierarchy uniqueName="[staging_ventas].[item]" caption="item" attribute="1" defaultMemberUniqueName="[staging_ventas].[item].[All]" allUniqueName="[staging_ventas].[item].[All]" dimensionUniqueName="[staging_ventas]" displayFolder="" count="0" memberValueDatatype="130" unbalanced="0"/>
    <cacheHierarchy uniqueName="[staging_ventas].[cantidad]" caption="cantidad" attribute="1" defaultMemberUniqueName="[staging_ventas].[cantidad].[All]" allUniqueName="[staging_ventas].[cantidad].[All]" dimensionUniqueName="[staging_ventas]" displayFolder="" count="0" memberValueDatatype="20" unbalanced="0"/>
    <cacheHierarchy uniqueName="[staging_ventas].[precio_unitario]" caption="precio_unitario" attribute="1" defaultMemberUniqueName="[staging_ventas].[precio_unitario].[All]" allUniqueName="[staging_ventas].[precio_unitario].[All]" dimensionUniqueName="[staging_ventas]" displayFolder="" count="0" memberValueDatatype="5" unbalanced="0"/>
    <cacheHierarchy uniqueName="[staging_ventas].[total]" caption="total" attribute="1" defaultMemberUniqueName="[staging_ventas].[total].[All]" allUniqueName="[staging_ventas].[total].[All]" dimensionUniqueName="[staging_ventas]" displayFolder="" count="0" memberValueDatatype="5" unbalanced="0"/>
    <cacheHierarchy uniqueName="[staging_ventas].[metodo_pago]" caption="metodo_pago" attribute="1" defaultMemberUniqueName="[staging_ventas].[metodo_pago].[All]" allUniqueName="[staging_ventas].[metodo_pago].[All]" dimensionUniqueName="[staging_ventas]" displayFolder="" count="0" memberValueDatatype="130" unbalanced="0"/>
    <cacheHierarchy uniqueName="[staging_ventas].[location]" caption="location" attribute="1" defaultMemberUniqueName="[staging_ventas].[location].[All]" allUniqueName="[staging_ventas].[location].[All]" dimensionUniqueName="[staging_ventas]" displayFolder="" count="0" memberValueDatatype="130" unbalanced="0"/>
    <cacheHierarchy uniqueName="[staging_ventas].[fecha]" caption="fecha" attribute="1" time="1" defaultMemberUniqueName="[staging_ventas].[fecha].[All]" allUniqueName="[staging_ventas].[fecha].[All]" dimensionUniqueName="[staging_ventas]" displayFolder="" count="0" memberValueDatatype="7" unbalanced="0"/>
    <cacheHierarchy uniqueName="[tiendas].[tienda_id]" caption="tienda_id" attribute="1" defaultMemberUniqueName="[tiendas].[tienda_id].[All]" allUniqueName="[tiendas].[tienda_id].[All]" dimensionUniqueName="[tiendas]" displayFolder="" count="0" memberValueDatatype="20" unbalanced="0"/>
    <cacheHierarchy uniqueName="[tiendas].[tienda]" caption="tienda" attribute="1" defaultMemberUniqueName="[tiendas].[tienda].[All]" allUniqueName="[tiendas].[tienda].[All]" dimensionUniqueName="[tiendas]" displayFolder="" count="2" memberValueDatatype="130" unbalanced="0"/>
    <cacheHierarchy uniqueName="[ventas].[venta_id]" caption="venta_id" attribute="1" defaultMemberUniqueName="[ventas].[venta_id].[All]" allUniqueName="[ventas].[venta_id].[All]" dimensionUniqueName="[ventas]" displayFolder="" count="0" memberValueDatatype="20" unbalanced="0"/>
    <cacheHierarchy uniqueName="[ventas].[transaccion_id]" caption="transaccion_id" attribute="1" defaultMemberUniqueName="[ventas].[transaccion_id].[All]" allUniqueName="[ventas].[transaccion_id].[All]" dimensionUniqueName="[ventas]" displayFolder="" count="0" memberValueDatatype="130" unbalanced="0"/>
    <cacheHierarchy uniqueName="[ventas].[producto_id]" caption="producto_id" attribute="1" defaultMemberUniqueName="[ventas].[producto_id].[All]" allUniqueName="[ventas].[producto_id].[All]" dimensionUniqueName="[ventas]" displayFolder="" count="0" memberValueDatatype="2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5" unbalanced="0"/>
    <cacheHierarchy uniqueName="[ventas].[total]" caption="total" attribute="1" defaultMemberUniqueName="[ventas].[total].[All]" allUniqueName="[ventas].[total].[All]" dimensionUniqueName="[ventas]" displayFolder="" count="0" memberValueDatatype="5" unbalanced="0"/>
    <cacheHierarchy uniqueName="[ventas].[metodo_id]" caption="metodo_id" attribute="1" defaultMemberUniqueName="[ventas].[metodo_id].[All]" allUniqueName="[ventas].[metodo_id].[All]" dimensionUniqueName="[ventas]" displayFolder="" count="0" memberValueDatatype="20" unbalanced="0"/>
    <cacheHierarchy uniqueName="[ventas].[tienda_id]" caption="tienda_id" attribute="1" defaultMemberUniqueName="[ventas].[tienda_id].[All]" allUniqueName="[ventas].[tienda_id].[All]" dimensionUniqueName="[ventas]" displayFolder="" count="0" memberValueDatatype="20" unbalanced="0"/>
    <cacheHierarchy uniqueName="[ventas].[fecha_id]" caption="fecha_id" attribute="1" defaultMemberUniqueName="[ventas].[fecha_id].[All]" allUniqueName="[ventas].[fecha_id].[All]" dimensionUniqueName="[ventas]" displayFolder="" count="0" memberValueDatatype="20" unbalanced="0"/>
    <cacheHierarchy uniqueName="[Measures].[ventas totales]" caption="ventas totales" measure="1" displayFolder="" measureGroup="ventas" count="0" oneField="1">
      <fieldsUsage count="1">
        <fieldUsage x="2"/>
      </fieldsUsage>
    </cacheHierarchy>
    <cacheHierarchy uniqueName="[Measures].[cantidad vendida]" caption="cantidad vendida" measure="1" displayFolder="" measureGroup="ventas" count="0" oneField="1">
      <fieldsUsage count="1">
        <fieldUsage x="3"/>
      </fieldsUsage>
    </cacheHierarchy>
    <cacheHierarchy uniqueName="[Measures].[ticket promedio]" caption="ticket promedio" measure="1" displayFolder="" measureGroup="ventas" count="0"/>
    <cacheHierarchy uniqueName="[Measures].[promedio producto]" caption="promedio producto" measure="1" displayFolder="" measureGroup="ventas" count="0"/>
    <cacheHierarchy uniqueName="[Measures].[ventas por dia]" caption="ventas por dia" measure="1" displayFolder="" measureGroup="ventas" count="0"/>
    <cacheHierarchy uniqueName="[Measures].[ventas mensuales]" caption="ventas mensuales" measure="1" displayFolder="" measureGroup="ventas" count="0"/>
    <cacheHierarchy uniqueName="[Measures].[top producto]" caption="top producto" measure="1" displayFolder="" measureGroup="ventas" count="0"/>
    <cacheHierarchy uniqueName="[Measures].[TOP TIENDA]" caption="TOP TIENDA" measure="1" displayFolder="" measureGroup="ventas" count="0"/>
    <cacheHierarchy uniqueName="[Measures].[__XL_Count calendario]" caption="__XL_Count calendario" measure="1" displayFolder="" measureGroup="calendario" count="0" hidden="1"/>
    <cacheHierarchy uniqueName="[Measures].[__XL_Count metodos_pago]" caption="__XL_Count metodos_pago" measure="1" displayFolder="" measureGroup="metodos_pago" count="0" hidden="1"/>
    <cacheHierarchy uniqueName="[Measures].[__XL_Count productos]" caption="__XL_Count productos" measure="1" displayFolder="" measureGroup="productos" count="0" hidden="1"/>
    <cacheHierarchy uniqueName="[Measures].[__XL_Count staging_ventas]" caption="__XL_Count staging_ventas" measure="1" displayFolder="" measureGroup="staging_ventas" count="0" hidden="1"/>
    <cacheHierarchy uniqueName="[Measures].[__XL_Count tiendas]" caption="__XL_Count tiendas" measure="1" displayFolder="" measureGroup="tiendas" count="0" hidden="1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</cacheHierarchies>
  <kpis count="0"/>
  <dimensions count="7">
    <dimension name="calendario" uniqueName="[calendario]" caption="calendario"/>
    <dimension measure="1" name="Measures" uniqueName="[Measures]" caption="Measures"/>
    <dimension name="metodos_pago" uniqueName="[metodos_pago]" caption="metodos_pago"/>
    <dimension name="productos" uniqueName="[productos]" caption="productos"/>
    <dimension name="staging_ventas" uniqueName="[staging_ventas]" caption="staging_ventas"/>
    <dimension name="tiendas" uniqueName="[tiendas]" caption="tiendas"/>
    <dimension name="ventas" uniqueName="[ventas]" caption="ventas"/>
  </dimensions>
  <measureGroups count="6">
    <measureGroup name="calendario" caption="calendario"/>
    <measureGroup name="metodos_pago" caption="metodos_pago"/>
    <measureGroup name="productos" caption="productos"/>
    <measureGroup name="staging_ventas" caption="staging_ventas"/>
    <measureGroup name="tiendas" caption="tiendas"/>
    <measureGroup name="ventas" caption="ventas"/>
  </measureGroups>
  <maps count="10">
    <map measureGroup="0" dimension="0"/>
    <map measureGroup="1" dimension="2"/>
    <map measureGroup="2" dimension="3"/>
    <map measureGroup="3" dimension="4"/>
    <map measureGroup="4" dimension="5"/>
    <map measureGroup="5" dimension="0"/>
    <map measureGroup="5" dimension="2"/>
    <map measureGroup="5" dimension="3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orlando pacheco corredor" refreshedDate="45993.926504629628" backgroundQuery="1" createdVersion="3" refreshedVersion="8" minRefreshableVersion="3" recordCount="0" supportSubquery="1" supportAdvancedDrill="1" xr:uid="{F60CA0C6-1BA0-4AEE-92E3-0585525D3FA8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6">
    <cacheHierarchy uniqueName="[calendario].[fecha_id]" caption="fecha_id" attribute="1" defaultMemberUniqueName="[calendario].[fecha_id].[All]" allUniqueName="[calendario].[fecha_id].[All]" dimensionUniqueName="[calendario]" displayFolder="" count="0" memberValueDatatype="20" unbalanced="0"/>
    <cacheHierarchy uniqueName="[calendario].[fecha]" caption="fecha" attribute="1" tim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defaultMemberUniqueName="[calendario].[año].[All]" allUniqueName="[calendario].[año].[All]" dimensionUniqueName="[calendario]" displayFolder="" count="0" memberValueDatatype="20" unbalanced="0"/>
    <cacheHierarchy uniqueName="[calendario].[mes]" caption="mes" attribute="1" defaultMemberUniqueName="[calendario].[mes].[All]" allUniqueName="[calendario].[mes].[All]" dimensionUniqueName="[calendario]" displayFolder="" count="0" memberValueDatatype="20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dia_semana]" caption="dia_semana" attribute="1" defaultMemberUniqueName="[calendario].[dia_semana].[All]" allUniqueName="[calendario].[dia_semana].[All]" dimensionUniqueName="[calendario]" displayFolder="" count="0" memberValueDatatype="130" unbalanced="0"/>
    <cacheHierarchy uniqueName="[calendario].[mes_nombre]" caption="mes_nombre" attribute="1" defaultMemberUniqueName="[calendario].[mes_nombre].[All]" allUniqueName="[calendario].[mes_nombre].[All]" dimensionUniqueName="[calendario]" displayFolder="" count="2" memberValueDatatype="130" unbalanced="0"/>
    <cacheHierarchy uniqueName="[metodos_pago].[metodo_id]" caption="metodo_id" attribute="1" defaultMemberUniqueName="[metodos_pago].[metodo_id].[All]" allUniqueName="[metodos_pago].[metodo_id].[All]" dimensionUniqueName="[metodos_pago]" displayFolder="" count="0" memberValueDatatype="20" unbalanced="0"/>
    <cacheHierarchy uniqueName="[metodos_pago].[metodo]" caption="metodo" attribute="1" defaultMemberUniqueName="[metodos_pago].[metodo].[All]" allUniqueName="[metodos_pago].[metodo].[All]" dimensionUniqueName="[metodos_pago]" displayFolder="" count="2" memberValueDatatype="130" unbalanced="0"/>
    <cacheHierarchy uniqueName="[productos].[producto_id]" caption="producto_id" attribute="1" defaultMemberUniqueName="[productos].[producto_id].[All]" allUniqueName="[productos].[producto_id].[All]" dimensionUniqueName="[productos]" displayFolder="" count="0" memberValueDatatype="20" unbalanced="0"/>
    <cacheHierarchy uniqueName="[productos].[nombre]" caption="nombre" attribute="1" defaultMemberUniqueName="[productos].[nombre].[All]" allUniqueName="[productos].[nombre].[All]" dimensionUniqueName="[productos]" displayFolder="" count="0" memberValueDatatype="130" unbalanced="0"/>
    <cacheHierarchy uniqueName="[productos].[precio_unitario]" caption="precio_unitario" attribute="1" defaultMemberUniqueName="[productos].[precio_unitario].[All]" allUniqueName="[productos].[precio_unitario].[All]" dimensionUniqueName="[productos]" displayFolder="" count="0" memberValueDatatype="5" unbalanced="0"/>
    <cacheHierarchy uniqueName="[staging_ventas].[ID_transaccion]" caption="ID_transaccion" attribute="1" defaultMemberUniqueName="[staging_ventas].[ID_transaccion].[All]" allUniqueName="[staging_ventas].[ID_transaccion].[All]" dimensionUniqueName="[staging_ventas]" displayFolder="" count="0" memberValueDatatype="130" unbalanced="0"/>
    <cacheHierarchy uniqueName="[staging_ventas].[item]" caption="item" attribute="1" defaultMemberUniqueName="[staging_ventas].[item].[All]" allUniqueName="[staging_ventas].[item].[All]" dimensionUniqueName="[staging_ventas]" displayFolder="" count="0" memberValueDatatype="130" unbalanced="0"/>
    <cacheHierarchy uniqueName="[staging_ventas].[cantidad]" caption="cantidad" attribute="1" defaultMemberUniqueName="[staging_ventas].[cantidad].[All]" allUniqueName="[staging_ventas].[cantidad].[All]" dimensionUniqueName="[staging_ventas]" displayFolder="" count="0" memberValueDatatype="20" unbalanced="0"/>
    <cacheHierarchy uniqueName="[staging_ventas].[precio_unitario]" caption="precio_unitario" attribute="1" defaultMemberUniqueName="[staging_ventas].[precio_unitario].[All]" allUniqueName="[staging_ventas].[precio_unitario].[All]" dimensionUniqueName="[staging_ventas]" displayFolder="" count="0" memberValueDatatype="5" unbalanced="0"/>
    <cacheHierarchy uniqueName="[staging_ventas].[total]" caption="total" attribute="1" defaultMemberUniqueName="[staging_ventas].[total].[All]" allUniqueName="[staging_ventas].[total].[All]" dimensionUniqueName="[staging_ventas]" displayFolder="" count="0" memberValueDatatype="5" unbalanced="0"/>
    <cacheHierarchy uniqueName="[staging_ventas].[metodo_pago]" caption="metodo_pago" attribute="1" defaultMemberUniqueName="[staging_ventas].[metodo_pago].[All]" allUniqueName="[staging_ventas].[metodo_pago].[All]" dimensionUniqueName="[staging_ventas]" displayFolder="" count="0" memberValueDatatype="130" unbalanced="0"/>
    <cacheHierarchy uniqueName="[staging_ventas].[location]" caption="location" attribute="1" defaultMemberUniqueName="[staging_ventas].[location].[All]" allUniqueName="[staging_ventas].[location].[All]" dimensionUniqueName="[staging_ventas]" displayFolder="" count="0" memberValueDatatype="130" unbalanced="0"/>
    <cacheHierarchy uniqueName="[staging_ventas].[fecha]" caption="fecha" attribute="1" time="1" defaultMemberUniqueName="[staging_ventas].[fecha].[All]" allUniqueName="[staging_ventas].[fecha].[All]" dimensionUniqueName="[staging_ventas]" displayFolder="" count="0" memberValueDatatype="7" unbalanced="0"/>
    <cacheHierarchy uniqueName="[tiendas].[tienda_id]" caption="tienda_id" attribute="1" defaultMemberUniqueName="[tiendas].[tienda_id].[All]" allUniqueName="[tiendas].[tienda_id].[All]" dimensionUniqueName="[tiendas]" displayFolder="" count="0" memberValueDatatype="20" unbalanced="0"/>
    <cacheHierarchy uniqueName="[tiendas].[tienda]" caption="tienda" attribute="1" defaultMemberUniqueName="[tiendas].[tienda].[All]" allUniqueName="[tiendas].[tienda].[All]" dimensionUniqueName="[tiendas]" displayFolder="" count="2" memberValueDatatype="130" unbalanced="0"/>
    <cacheHierarchy uniqueName="[ventas].[venta_id]" caption="venta_id" attribute="1" defaultMemberUniqueName="[ventas].[venta_id].[All]" allUniqueName="[ventas].[venta_id].[All]" dimensionUniqueName="[ventas]" displayFolder="" count="0" memberValueDatatype="20" unbalanced="0"/>
    <cacheHierarchy uniqueName="[ventas].[transaccion_id]" caption="transaccion_id" attribute="1" defaultMemberUniqueName="[ventas].[transaccion_id].[All]" allUniqueName="[ventas].[transaccion_id].[All]" dimensionUniqueName="[ventas]" displayFolder="" count="0" memberValueDatatype="130" unbalanced="0"/>
    <cacheHierarchy uniqueName="[ventas].[producto_id]" caption="producto_id" attribute="1" defaultMemberUniqueName="[ventas].[producto_id].[All]" allUniqueName="[ventas].[producto_id].[All]" dimensionUniqueName="[ventas]" displayFolder="" count="0" memberValueDatatype="2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5" unbalanced="0"/>
    <cacheHierarchy uniqueName="[ventas].[total]" caption="total" attribute="1" defaultMemberUniqueName="[ventas].[total].[All]" allUniqueName="[ventas].[total].[All]" dimensionUniqueName="[ventas]" displayFolder="" count="0" memberValueDatatype="5" unbalanced="0"/>
    <cacheHierarchy uniqueName="[ventas].[metodo_id]" caption="metodo_id" attribute="1" defaultMemberUniqueName="[ventas].[metodo_id].[All]" allUniqueName="[ventas].[metodo_id].[All]" dimensionUniqueName="[ventas]" displayFolder="" count="0" memberValueDatatype="20" unbalanced="0"/>
    <cacheHierarchy uniqueName="[ventas].[tienda_id]" caption="tienda_id" attribute="1" defaultMemberUniqueName="[ventas].[tienda_id].[All]" allUniqueName="[ventas].[tienda_id].[All]" dimensionUniqueName="[ventas]" displayFolder="" count="0" memberValueDatatype="20" unbalanced="0"/>
    <cacheHierarchy uniqueName="[ventas].[fecha_id]" caption="fecha_id" attribute="1" defaultMemberUniqueName="[ventas].[fecha_id].[All]" allUniqueName="[ventas].[fecha_id].[All]" dimensionUniqueName="[ventas]" displayFolder="" count="0" memberValueDatatype="20" unbalanced="0"/>
    <cacheHierarchy uniqueName="[Measures].[ventas totales]" caption="ventas totales" measure="1" displayFolder="" measureGroup="ventas" count="0"/>
    <cacheHierarchy uniqueName="[Measures].[cantidad vendida]" caption="cantidad vendida" measure="1" displayFolder="" measureGroup="ventas" count="0"/>
    <cacheHierarchy uniqueName="[Measures].[ticket promedio]" caption="ticket promedio" measure="1" displayFolder="" measureGroup="ventas" count="0"/>
    <cacheHierarchy uniqueName="[Measures].[promedio producto]" caption="promedio producto" measure="1" displayFolder="" measureGroup="ventas" count="0"/>
    <cacheHierarchy uniqueName="[Measures].[ventas por dia]" caption="ventas por dia" measure="1" displayFolder="" measureGroup="ventas" count="0"/>
    <cacheHierarchy uniqueName="[Measures].[ventas mensuales]" caption="ventas mensuales" measure="1" displayFolder="" measureGroup="ventas" count="0"/>
    <cacheHierarchy uniqueName="[Measures].[top producto]" caption="top producto" measure="1" displayFolder="" measureGroup="ventas" count="0"/>
    <cacheHierarchy uniqueName="[Measures].[TOP TIENDA]" caption="TOP TIENDA" measure="1" displayFolder="" measureGroup="ventas" count="0"/>
    <cacheHierarchy uniqueName="[Measures].[__XL_Count calendario]" caption="__XL_Count calendario" measure="1" displayFolder="" measureGroup="calendario" count="0" hidden="1"/>
    <cacheHierarchy uniqueName="[Measures].[__XL_Count metodos_pago]" caption="__XL_Count metodos_pago" measure="1" displayFolder="" measureGroup="metodos_pago" count="0" hidden="1"/>
    <cacheHierarchy uniqueName="[Measures].[__XL_Count productos]" caption="__XL_Count productos" measure="1" displayFolder="" measureGroup="productos" count="0" hidden="1"/>
    <cacheHierarchy uniqueName="[Measures].[__XL_Count staging_ventas]" caption="__XL_Count staging_ventas" measure="1" displayFolder="" measureGroup="staging_ventas" count="0" hidden="1"/>
    <cacheHierarchy uniqueName="[Measures].[__XL_Count tiendas]" caption="__XL_Count tiendas" measure="1" displayFolder="" measureGroup="tiendas" count="0" hidden="1"/>
    <cacheHierarchy uniqueName="[Measures].[__XL_Count ventas]" caption="__XL_Count ventas" measure="1" displayFolder="" measureGroup="vent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18426911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0EB5F-0D28-44E5-A3AF-B73570A1A601}" name="TablaDinámica1" cacheId="597" applyNumberFormats="0" applyBorderFormats="0" applyFontFormats="0" applyPatternFormats="0" applyAlignmentFormats="0" applyWidthHeightFormats="1" dataCaption="Valores" tag="c53be4e8-dc1d-4469-adfa-ad4eeecd35d0" updatedVersion="8" minRefreshableVersion="3" useAutoFormatting="1" subtotalHiddenItems="1" itemPrintTitles="1" createdVersion="8" indent="0" outline="1" outlineData="1" multipleFieldFilters="0">
  <location ref="A2:C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 numFmtId="165"/>
    <dataField fld="1" subtotal="count" baseField="0" baseItem="0" numFmtId="164"/>
    <dataField fld="0" subtotal="count" baseField="0" baseItem="0" numFmtId="164"/>
  </dataFields>
  <formats count="3">
    <format dxfId="84">
      <pivotArea outline="0" fieldPosition="0">
        <references count="1">
          <reference field="4294967294" count="1">
            <x v="0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metodos_pago].[metodo].&amp;[Cas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iendas]"/>
        <x15:activeTabTopLevelEntity name="[metodos_pag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6210C-8767-443B-8EC3-C0F35A4AB151}" name="TablaDinámica3" cacheId="594" applyNumberFormats="0" applyBorderFormats="0" applyFontFormats="0" applyPatternFormats="0" applyAlignmentFormats="0" applyWidthHeightFormats="1" dataCaption="Valores" tag="fca34785-6144-48f5-ae47-fe1a1dae276a" updatedVersion="8" minRefreshableVersion="3" useAutoFormatting="1" subtotalHiddenItems="1" itemPrintTitles="1" createdVersion="8" indent="0" outline="1" outlineData="1" multipleFieldFilters="0" chartFormat="7">
  <location ref="A21:B30" firstHeaderRow="1" firstDataRow="1" firstDataCol="1"/>
  <pivotFields count="3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 v="2"/>
    </i>
    <i>
      <x v="7"/>
    </i>
    <i>
      <x v="1"/>
    </i>
    <i>
      <x v="3"/>
    </i>
    <i>
      <x v="6"/>
    </i>
    <i>
      <x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64"/>
  </dataFields>
  <chartFormats count="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metodos_pago].[metodo].&amp;[Cas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s]"/>
        <x15:activeTabTopLevelEntity name="[calendario]"/>
        <x15:activeTabTopLevelEntity name="[tiendas]"/>
        <x15:activeTabTopLevelEntity name="[metodos_pag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B28CB-EA3E-4FA7-A64C-EF897DDC1538}" name="TablaDinámica2" cacheId="600" applyNumberFormats="0" applyBorderFormats="0" applyFontFormats="0" applyPatternFormats="0" applyAlignmentFormats="0" applyWidthHeightFormats="1" dataCaption="Valores" tag="7663e06d-07c1-4065-9118-33f6694ee0ac" updatedVersion="8" minRefreshableVersion="3" useAutoFormatting="1" subtotalHiddenItems="1" itemPrintTitles="1" createdVersion="8" indent="0" outline="1" outlineData="1" multipleFieldFilters="0" chartFormat="5">
  <location ref="A5:C19" firstHeaderRow="0" firstDataRow="1" firstDataCol="1"/>
  <pivotFields count="5"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metodos_pago].[metodo].&amp;[Cas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tiendas]"/>
        <x15:activeTabTopLevelEntity name="[metodos_pag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nombre" xr10:uid="{7430436A-139D-46F3-BEB2-01F7452011CF}" sourceName="[calendario].[mes_nombre]">
  <pivotTables>
    <pivotTable tabId="1" name="TablaDinámica3"/>
    <pivotTable tabId="1" name="TablaDinámica1"/>
    <pivotTable tabId="1" name="TablaDinámica2"/>
  </pivotTables>
  <data>
    <olap pivotCacheId="1184269114">
      <levels count="2">
        <level uniqueName="[calendario].[mes_nombre].[(All)]" sourceCaption="(All)" count="0"/>
        <level uniqueName="[calendario].[mes_nombre].[mes_nombre]" sourceCaption="mes_nombre" count="12">
          <ranges>
            <range startItem="0">
              <i n="[calendario].[mes_nombre].&amp;[abril]" c="abril"/>
              <i n="[calendario].[mes_nombre].&amp;[agosto]" c="agosto"/>
              <i n="[calendario].[mes_nombre].&amp;[diciembre]" c="diciembre"/>
              <i n="[calendario].[mes_nombre].&amp;[enero]" c="enero"/>
              <i n="[calendario].[mes_nombre].&amp;[febrero]" c="febrero"/>
              <i n="[calendario].[mes_nombre].&amp;[julio]" c="julio"/>
              <i n="[calendario].[mes_nombre].&amp;[junio]" c="junio"/>
              <i n="[calendario].[mes_nombre].&amp;[marzo]" c="marzo"/>
              <i n="[calendario].[mes_nombre].&amp;[mayo]" c="mayo"/>
              <i n="[calendario].[mes_nombre].&amp;[noviembre]" c="noviembre"/>
              <i n="[calendario].[mes_nombre].&amp;[octubre]" c="octubre"/>
              <i n="[calendario].[mes_nombre].&amp;[septiembre]" c="septiembre"/>
            </range>
          </ranges>
        </level>
      </levels>
      <selections count="1">
        <selection n="[calendario].[mes_nombr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enda" xr10:uid="{F908F55E-524D-488C-BF76-524FAF66E141}" sourceName="[tiendas].[tienda]">
  <pivotTables>
    <pivotTable tabId="1" name="TablaDinámica3"/>
    <pivotTable tabId="1" name="TablaDinámica1"/>
    <pivotTable tabId="1" name="TablaDinámica2"/>
  </pivotTables>
  <data>
    <olap pivotCacheId="1184269114">
      <levels count="2">
        <level uniqueName="[tiendas].[tienda].[(All)]" sourceCaption="(All)" count="0"/>
        <level uniqueName="[tiendas].[tienda].[tienda]" sourceCaption="tienda" count="2">
          <ranges>
            <range startItem="0">
              <i n="[tiendas].[tienda].&amp;[In-store]" c="In-store"/>
              <i n="[tiendas].[tienda].&amp;[Takeaway]" c="Takeaway"/>
            </range>
          </ranges>
        </level>
      </levels>
      <selections count="1">
        <selection n="[tiendas].[tiend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todo" xr10:uid="{4767B179-F872-4712-9A4D-D00DE348400B}" sourceName="[metodos_pago].[metodo]">
  <pivotTables>
    <pivotTable tabId="1" name="TablaDinámica3"/>
    <pivotTable tabId="1" name="TablaDinámica1"/>
    <pivotTable tabId="1" name="TablaDinámica2"/>
  </pivotTables>
  <data>
    <olap pivotCacheId="1184269114">
      <levels count="2">
        <level uniqueName="[metodos_pago].[metodo].[(All)]" sourceCaption="(All)" count="0"/>
        <level uniqueName="[metodos_pago].[metodo].[metodo]" sourceCaption="metodo" count="3">
          <ranges>
            <range startItem="0">
              <i n="[metodos_pago].[metodo].&amp;[Cash]" c="Cash"/>
              <i n="[metodos_pago].[metodo].&amp;[Credit Card]" c="Credit Card"/>
              <i n="[metodos_pago].[metodo].&amp;[Digital Wallet]" c="Digital Wallet"/>
            </range>
          </ranges>
        </level>
      </levels>
      <selections count="1">
        <selection n="[metodos_pago].[metodo].&amp;[Cash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949EB147-15E3-4EFF-97DA-A59DD202F03F}" cache="SegmentaciónDeDatos_mes_nombre" caption="mes" startItem="2" columnCount="2" level="1" rowHeight="324000"/>
  <slicer name="tienda" xr10:uid="{07A69270-ED37-44DA-898B-B9958044C814}" cache="SegmentaciónDeDatos_tienda" caption="tienda" columnCount="2" level="1" rowHeight="324000"/>
  <slicer name="metodo" xr10:uid="{2D13FAB8-467A-4C2C-A4F0-BAEDC6E593BB}" cache="SegmentaciónDeDatos_metodo" caption="metodo" columnCount="2" level="1" rowHeight="3240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01BC-D884-40ED-90F6-90F393783DE3}">
  <dimension ref="A2:C30"/>
  <sheetViews>
    <sheetView workbookViewId="0">
      <selection activeCell="C2" sqref="C2:C3"/>
    </sheetView>
  </sheetViews>
  <sheetFormatPr baseColWidth="10" defaultRowHeight="15" x14ac:dyDescent="0.25"/>
  <cols>
    <col min="1" max="1" width="17.85546875" bestFit="1" customWidth="1"/>
    <col min="2" max="2" width="13.7109375" bestFit="1" customWidth="1"/>
    <col min="3" max="3" width="16.42578125" bestFit="1" customWidth="1"/>
  </cols>
  <sheetData>
    <row r="2" spans="1:3" x14ac:dyDescent="0.25">
      <c r="A2" t="s">
        <v>1</v>
      </c>
      <c r="B2" t="s">
        <v>0</v>
      </c>
      <c r="C2" t="s">
        <v>2</v>
      </c>
    </row>
    <row r="3" spans="1:3" x14ac:dyDescent="0.25">
      <c r="A3" s="6">
        <v>3399</v>
      </c>
      <c r="B3" s="1">
        <v>9647</v>
      </c>
      <c r="C3" s="1">
        <v>8.492077464788732</v>
      </c>
    </row>
    <row r="5" spans="1:3" x14ac:dyDescent="0.25">
      <c r="A5" s="2" t="s">
        <v>3</v>
      </c>
      <c r="B5" t="s">
        <v>0</v>
      </c>
      <c r="C5" t="s">
        <v>1</v>
      </c>
    </row>
    <row r="6" spans="1:3" x14ac:dyDescent="0.25">
      <c r="A6" s="3">
        <v>2023</v>
      </c>
      <c r="B6" s="5"/>
      <c r="C6" s="5"/>
    </row>
    <row r="7" spans="1:3" x14ac:dyDescent="0.25">
      <c r="A7" s="4" t="s">
        <v>8</v>
      </c>
      <c r="B7" s="5">
        <v>884</v>
      </c>
      <c r="C7" s="5">
        <v>313</v>
      </c>
    </row>
    <row r="8" spans="1:3" x14ac:dyDescent="0.25">
      <c r="A8" s="4" t="s">
        <v>9</v>
      </c>
      <c r="B8" s="5">
        <v>802.5</v>
      </c>
      <c r="C8" s="5">
        <v>288</v>
      </c>
    </row>
    <row r="9" spans="1:3" x14ac:dyDescent="0.25">
      <c r="A9" s="4" t="s">
        <v>12</v>
      </c>
      <c r="B9" s="5">
        <v>867</v>
      </c>
      <c r="C9" s="5">
        <v>303</v>
      </c>
    </row>
    <row r="10" spans="1:3" x14ac:dyDescent="0.25">
      <c r="A10" s="4" t="s">
        <v>5</v>
      </c>
      <c r="B10" s="5">
        <v>838</v>
      </c>
      <c r="C10" s="5">
        <v>287</v>
      </c>
    </row>
    <row r="11" spans="1:3" x14ac:dyDescent="0.25">
      <c r="A11" s="4" t="s">
        <v>13</v>
      </c>
      <c r="B11" s="5">
        <v>754.5</v>
      </c>
      <c r="C11" s="5">
        <v>241</v>
      </c>
    </row>
    <row r="12" spans="1:3" x14ac:dyDescent="0.25">
      <c r="A12" s="4" t="s">
        <v>11</v>
      </c>
      <c r="B12" s="5">
        <v>778.5</v>
      </c>
      <c r="C12" s="5">
        <v>269</v>
      </c>
    </row>
    <row r="13" spans="1:3" x14ac:dyDescent="0.25">
      <c r="A13" s="4" t="s">
        <v>10</v>
      </c>
      <c r="B13" s="5">
        <v>951.5</v>
      </c>
      <c r="C13" s="5">
        <v>320</v>
      </c>
    </row>
    <row r="14" spans="1:3" x14ac:dyDescent="0.25">
      <c r="A14" s="4" t="s">
        <v>6</v>
      </c>
      <c r="B14" s="5">
        <v>692</v>
      </c>
      <c r="C14" s="5">
        <v>263</v>
      </c>
    </row>
    <row r="15" spans="1:3" x14ac:dyDescent="0.25">
      <c r="A15" s="4" t="s">
        <v>16</v>
      </c>
      <c r="B15" s="5">
        <v>920</v>
      </c>
      <c r="C15" s="5">
        <v>314</v>
      </c>
    </row>
    <row r="16" spans="1:3" x14ac:dyDescent="0.25">
      <c r="A16" s="4" t="s">
        <v>15</v>
      </c>
      <c r="B16" s="5">
        <v>681.5</v>
      </c>
      <c r="C16" s="5">
        <v>280</v>
      </c>
    </row>
    <row r="17" spans="1:3" x14ac:dyDescent="0.25">
      <c r="A17" s="4" t="s">
        <v>14</v>
      </c>
      <c r="B17" s="5">
        <v>741.5</v>
      </c>
      <c r="C17" s="5">
        <v>265</v>
      </c>
    </row>
    <row r="18" spans="1:3" x14ac:dyDescent="0.25">
      <c r="A18" s="4" t="s">
        <v>7</v>
      </c>
      <c r="B18" s="5">
        <v>736</v>
      </c>
      <c r="C18" s="5">
        <v>256</v>
      </c>
    </row>
    <row r="19" spans="1:3" x14ac:dyDescent="0.25">
      <c r="A19" s="3" t="s">
        <v>4</v>
      </c>
      <c r="B19" s="5">
        <v>9647</v>
      </c>
      <c r="C19" s="5">
        <v>3399</v>
      </c>
    </row>
    <row r="21" spans="1:3" x14ac:dyDescent="0.25">
      <c r="A21" s="2" t="s">
        <v>3</v>
      </c>
      <c r="B21" t="s">
        <v>0</v>
      </c>
    </row>
    <row r="22" spans="1:3" x14ac:dyDescent="0.25">
      <c r="A22" s="3" t="s">
        <v>19</v>
      </c>
      <c r="B22" s="1">
        <v>498</v>
      </c>
    </row>
    <row r="23" spans="1:3" x14ac:dyDescent="0.25">
      <c r="A23" s="3" t="s">
        <v>24</v>
      </c>
      <c r="B23" s="1">
        <v>616</v>
      </c>
    </row>
    <row r="24" spans="1:3" x14ac:dyDescent="0.25">
      <c r="A24" s="3" t="s">
        <v>18</v>
      </c>
      <c r="B24" s="1">
        <v>896</v>
      </c>
    </row>
    <row r="25" spans="1:3" x14ac:dyDescent="0.25">
      <c r="A25" s="3" t="s">
        <v>20</v>
      </c>
      <c r="B25" s="1">
        <v>1346</v>
      </c>
    </row>
    <row r="26" spans="1:3" x14ac:dyDescent="0.25">
      <c r="A26" s="3" t="s">
        <v>23</v>
      </c>
      <c r="B26" s="1">
        <v>1376</v>
      </c>
    </row>
    <row r="27" spans="1:3" x14ac:dyDescent="0.25">
      <c r="A27" s="3" t="s">
        <v>17</v>
      </c>
      <c r="B27" s="1">
        <v>1425</v>
      </c>
    </row>
    <row r="28" spans="1:3" x14ac:dyDescent="0.25">
      <c r="A28" s="3" t="s">
        <v>21</v>
      </c>
      <c r="B28" s="1">
        <v>1506</v>
      </c>
    </row>
    <row r="29" spans="1:3" x14ac:dyDescent="0.25">
      <c r="A29" s="3" t="s">
        <v>22</v>
      </c>
      <c r="B29" s="1">
        <v>1984</v>
      </c>
    </row>
    <row r="30" spans="1:3" x14ac:dyDescent="0.25">
      <c r="A30" s="3" t="s">
        <v>4</v>
      </c>
      <c r="B30" s="1">
        <v>9647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28F3-55EB-4FDF-A51E-FFE41ADB01BB}">
  <dimension ref="A4:F7"/>
  <sheetViews>
    <sheetView showGridLines="0" tabSelected="1" view="pageBreakPreview" zoomScale="60" zoomScaleNormal="70" workbookViewId="0">
      <selection activeCell="K8" sqref="K8"/>
    </sheetView>
  </sheetViews>
  <sheetFormatPr baseColWidth="10" defaultRowHeight="15" x14ac:dyDescent="0.25"/>
  <cols>
    <col min="1" max="1" width="3.140625" customWidth="1"/>
    <col min="2" max="2" width="18.42578125" customWidth="1"/>
    <col min="3" max="3" width="6.5703125" customWidth="1"/>
    <col min="4" max="4" width="21" customWidth="1"/>
    <col min="5" max="5" width="6.42578125" customWidth="1"/>
    <col min="6" max="6" width="20.28515625" customWidth="1"/>
    <col min="7" max="7" width="2" customWidth="1"/>
  </cols>
  <sheetData>
    <row r="4" spans="1:6" x14ac:dyDescent="0.25">
      <c r="A4" t="e" vm="1">
        <v>#VALUE!</v>
      </c>
    </row>
    <row r="6" spans="1:6" x14ac:dyDescent="0.25">
      <c r="A6" s="7"/>
      <c r="B6" s="8" t="str">
        <f>tablas!B2</f>
        <v>ventas totales</v>
      </c>
      <c r="D6" s="8" t="str">
        <f>tablas!A2</f>
        <v>cantidad vendida</v>
      </c>
      <c r="F6" s="8" t="str">
        <f>tablas!C2</f>
        <v>ticket promedio</v>
      </c>
    </row>
    <row r="7" spans="1:6" x14ac:dyDescent="0.25">
      <c r="A7" s="7"/>
      <c r="B7" s="9">
        <f>tablas!B3</f>
        <v>9647</v>
      </c>
      <c r="D7" s="10">
        <f>tablas!A3</f>
        <v>3399</v>
      </c>
      <c r="F7" s="9">
        <f>tablas!C3</f>
        <v>8.492077464788732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F890D846-F7A2-4FD5-B5AF-B2ACCB9B19CB}">
  <ds:schemaRefs/>
</ds:datastoreItem>
</file>

<file path=customXml/itemProps2.xml><?xml version="1.0" encoding="utf-8"?>
<ds:datastoreItem xmlns:ds="http://schemas.openxmlformats.org/officeDocument/2006/customXml" ds:itemID="{F17B251E-ED35-4C42-838B-58E6A384B30D}">
  <ds:schemaRefs/>
</ds:datastoreItem>
</file>

<file path=customXml/itemProps3.xml><?xml version="1.0" encoding="utf-8"?>
<ds:datastoreItem xmlns:ds="http://schemas.openxmlformats.org/officeDocument/2006/customXml" ds:itemID="{527CE795-831E-464E-84D9-61B431B8BFFA}">
  <ds:schemaRefs/>
</ds:datastoreItem>
</file>

<file path=customXml/itemProps4.xml><?xml version="1.0" encoding="utf-8"?>
<ds:datastoreItem xmlns:ds="http://schemas.openxmlformats.org/officeDocument/2006/customXml" ds:itemID="{3A097BDA-EBE3-481D-A8BE-9DC9B1B1E8A3}">
  <ds:schemaRefs/>
</ds:datastoreItem>
</file>

<file path=customXml/itemProps5.xml><?xml version="1.0" encoding="utf-8"?>
<ds:datastoreItem xmlns:ds="http://schemas.openxmlformats.org/officeDocument/2006/customXml" ds:itemID="{44AF3F97-A806-4D1D-B695-25FB22561EF3}">
  <ds:schemaRefs/>
</ds:datastoreItem>
</file>

<file path=customXml/itemProps6.xml><?xml version="1.0" encoding="utf-8"?>
<ds:datastoreItem xmlns:ds="http://schemas.openxmlformats.org/officeDocument/2006/customXml" ds:itemID="{A811434E-EC33-4457-A1BC-9B898D1BDD8F}">
  <ds:schemaRefs/>
</ds:datastoreItem>
</file>

<file path=customXml/itemProps7.xml><?xml version="1.0" encoding="utf-8"?>
<ds:datastoreItem xmlns:ds="http://schemas.openxmlformats.org/officeDocument/2006/customXml" ds:itemID="{8B061D2B-D8CC-4FD6-8B03-39916A790704}">
  <ds:schemaRefs/>
</ds:datastoreItem>
</file>

<file path=customXml/itemProps8.xml><?xml version="1.0" encoding="utf-8"?>
<ds:datastoreItem xmlns:ds="http://schemas.openxmlformats.org/officeDocument/2006/customXml" ds:itemID="{51ACB5D3-C713-414F-99C4-58A7A2A70ED5}">
  <ds:schemaRefs/>
</ds:datastoreItem>
</file>

<file path=customXml/itemProps9.xml><?xml version="1.0" encoding="utf-8"?>
<ds:datastoreItem xmlns:ds="http://schemas.openxmlformats.org/officeDocument/2006/customXml" ds:itemID="{EE3D5573-027A-4938-A2E7-2CEBC9D0DA17}">
  <ds:schemaRefs/>
</ds:datastoreItem>
</file>

<file path=customXml/itemProps10.xml><?xml version="1.0" encoding="utf-8"?>
<ds:datastoreItem xmlns:ds="http://schemas.openxmlformats.org/officeDocument/2006/customXml" ds:itemID="{72C748F5-F9FE-4F41-AFDA-6AC47960004B}">
  <ds:schemaRefs/>
</ds:datastoreItem>
</file>

<file path=customXml/itemProps11.xml><?xml version="1.0" encoding="utf-8"?>
<ds:datastoreItem xmlns:ds="http://schemas.openxmlformats.org/officeDocument/2006/customXml" ds:itemID="{C05749C0-EFD3-4750-B18E-1AC8FE3C78FF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963A03F9-F24D-4F0F-8D1A-3BC328E1C39B}">
  <ds:schemaRefs/>
</ds:datastoreItem>
</file>

<file path=customXml/itemProps13.xml><?xml version="1.0" encoding="utf-8"?>
<ds:datastoreItem xmlns:ds="http://schemas.openxmlformats.org/officeDocument/2006/customXml" ds:itemID="{D2EE116C-DEE1-47F1-9577-B7153C691B3C}">
  <ds:schemaRefs/>
</ds:datastoreItem>
</file>

<file path=customXml/itemProps14.xml><?xml version="1.0" encoding="utf-8"?>
<ds:datastoreItem xmlns:ds="http://schemas.openxmlformats.org/officeDocument/2006/customXml" ds:itemID="{7ABEE0CA-AEE3-458E-B2E7-490D9EDE9B57}">
  <ds:schemaRefs/>
</ds:datastoreItem>
</file>

<file path=customXml/itemProps15.xml><?xml version="1.0" encoding="utf-8"?>
<ds:datastoreItem xmlns:ds="http://schemas.openxmlformats.org/officeDocument/2006/customXml" ds:itemID="{661FB635-754F-4A8E-B315-2F9C495CB367}">
  <ds:schemaRefs/>
</ds:datastoreItem>
</file>

<file path=customXml/itemProps16.xml><?xml version="1.0" encoding="utf-8"?>
<ds:datastoreItem xmlns:ds="http://schemas.openxmlformats.org/officeDocument/2006/customXml" ds:itemID="{D2B2CA73-49A4-40B4-9847-44267308837A}">
  <ds:schemaRefs/>
</ds:datastoreItem>
</file>

<file path=customXml/itemProps17.xml><?xml version="1.0" encoding="utf-8"?>
<ds:datastoreItem xmlns:ds="http://schemas.openxmlformats.org/officeDocument/2006/customXml" ds:itemID="{FC99483D-1A71-4B93-9D31-E2A2F7609C38}">
  <ds:schemaRefs/>
</ds:datastoreItem>
</file>

<file path=customXml/itemProps18.xml><?xml version="1.0" encoding="utf-8"?>
<ds:datastoreItem xmlns:ds="http://schemas.openxmlformats.org/officeDocument/2006/customXml" ds:itemID="{17A0B0E9-6C87-432D-B292-E2A553BDE493}">
  <ds:schemaRefs/>
</ds:datastoreItem>
</file>

<file path=customXml/itemProps19.xml><?xml version="1.0" encoding="utf-8"?>
<ds:datastoreItem xmlns:ds="http://schemas.openxmlformats.org/officeDocument/2006/customXml" ds:itemID="{D945F6BD-0BFE-4335-96A0-F0B921237681}">
  <ds:schemaRefs/>
</ds:datastoreItem>
</file>

<file path=customXml/itemProps20.xml><?xml version="1.0" encoding="utf-8"?>
<ds:datastoreItem xmlns:ds="http://schemas.openxmlformats.org/officeDocument/2006/customXml" ds:itemID="{4EA540B9-3657-45F4-AACF-F1E5E1B6ABF6}">
  <ds:schemaRefs/>
</ds:datastoreItem>
</file>

<file path=customXml/itemProps21.xml><?xml version="1.0" encoding="utf-8"?>
<ds:datastoreItem xmlns:ds="http://schemas.openxmlformats.org/officeDocument/2006/customXml" ds:itemID="{0CD346F2-AF96-4B3C-A87A-1D772F5F54A7}">
  <ds:schemaRefs/>
</ds:datastoreItem>
</file>

<file path=customXml/itemProps22.xml><?xml version="1.0" encoding="utf-8"?>
<ds:datastoreItem xmlns:ds="http://schemas.openxmlformats.org/officeDocument/2006/customXml" ds:itemID="{ED6F4187-D22E-4151-9B4D-9743189C5A86}">
  <ds:schemaRefs/>
</ds:datastoreItem>
</file>

<file path=customXml/itemProps23.xml><?xml version="1.0" encoding="utf-8"?>
<ds:datastoreItem xmlns:ds="http://schemas.openxmlformats.org/officeDocument/2006/customXml" ds:itemID="{831BA314-9B57-4302-902E-B99D0ECCD96F}">
  <ds:schemaRefs/>
</ds:datastoreItem>
</file>

<file path=customXml/itemProps24.xml><?xml version="1.0" encoding="utf-8"?>
<ds:datastoreItem xmlns:ds="http://schemas.openxmlformats.org/officeDocument/2006/customXml" ds:itemID="{7618D900-0367-48FF-BAE9-FF970DDE8249}">
  <ds:schemaRefs/>
</ds:datastoreItem>
</file>

<file path=customXml/itemProps25.xml><?xml version="1.0" encoding="utf-8"?>
<ds:datastoreItem xmlns:ds="http://schemas.openxmlformats.org/officeDocument/2006/customXml" ds:itemID="{42B77032-E3AF-4F22-9A05-6DF5ED308A24}">
  <ds:schemaRefs/>
</ds:datastoreItem>
</file>

<file path=customXml/itemProps26.xml><?xml version="1.0" encoding="utf-8"?>
<ds:datastoreItem xmlns:ds="http://schemas.openxmlformats.org/officeDocument/2006/customXml" ds:itemID="{BF78B84F-0548-4BBB-961C-5BE03BD11F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orlando pacheco corredor</dc:creator>
  <cp:lastModifiedBy>david orlando pacheco corredor</cp:lastModifiedBy>
  <dcterms:created xsi:type="dcterms:W3CDTF">2025-12-02T01:32:50Z</dcterms:created>
  <dcterms:modified xsi:type="dcterms:W3CDTF">2025-12-03T03:39:45Z</dcterms:modified>
</cp:coreProperties>
</file>